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5ce3cacd7ace397a/ドキュメント/virtualhome-master/virtualhome-master/virtualhome/demo/"/>
    </mc:Choice>
  </mc:AlternateContent>
  <xr:revisionPtr revIDLastSave="45" documentId="11_1159615FEE33FB5EB59CC2794112512CA3F47837" xr6:coauthVersionLast="47" xr6:coauthVersionMax="47" xr10:uidLastSave="{CF1C9DC4-7AA7-4A02-8A43-8D551651B611}"/>
  <bookViews>
    <workbookView xWindow="-110" yWindow="-110" windowWidth="19420" windowHeight="11020" tabRatio="853" firstSheet="1" activeTab="5" xr2:uid="{00000000-000D-0000-FFFF-FFFF00000000}"/>
  </bookViews>
  <sheets>
    <sheet name="test_explain_json_4o" sheetId="1" r:id="rId1"/>
    <sheet name="test_keyword_json_4o" sheetId="2" r:id="rId2"/>
    <sheet name="test_murray_json_4o" sheetId="3" r:id="rId3"/>
    <sheet name="test_explain_json" sheetId="4" r:id="rId4"/>
    <sheet name="test_keyword_json" sheetId="5" r:id="rId5"/>
    <sheet name="test_murray_json" sheetId="6" r:id="rId6"/>
  </sheets>
  <definedNames>
    <definedName name="_xlnm._FilterDatabase" localSheetId="3" hidden="1">test_explain_json!$M$1:$M$94</definedName>
    <definedName name="_xlnm._FilterDatabase" localSheetId="0" hidden="1">test_explain_json_4o!$M$1:$M$94</definedName>
    <definedName name="_xlnm._FilterDatabase" localSheetId="4" hidden="1">test_keyword_json!$G$1:$M$94</definedName>
    <definedName name="_xlnm._FilterDatabase" localSheetId="1" hidden="1">test_keyword_json_4o!$G$1:$M$94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M94" i="6"/>
  <c r="I94" i="6"/>
  <c r="M93" i="6"/>
  <c r="I93" i="6"/>
  <c r="M92" i="6"/>
  <c r="I92" i="6"/>
  <c r="M91" i="6"/>
  <c r="I91" i="6"/>
  <c r="M90" i="6"/>
  <c r="I90" i="6"/>
  <c r="M89" i="6"/>
  <c r="I89" i="6"/>
  <c r="M88" i="6"/>
  <c r="I88" i="6"/>
  <c r="M87" i="6"/>
  <c r="I87" i="6"/>
  <c r="M86" i="6"/>
  <c r="I86" i="6"/>
  <c r="M85" i="6"/>
  <c r="I85" i="6"/>
  <c r="M84" i="6"/>
  <c r="I84" i="6"/>
  <c r="M83" i="6"/>
  <c r="I83" i="6"/>
  <c r="M82" i="6"/>
  <c r="I82" i="6"/>
  <c r="M81" i="6"/>
  <c r="I81" i="6"/>
  <c r="M80" i="6"/>
  <c r="I80" i="6"/>
  <c r="M79" i="6"/>
  <c r="I79" i="6"/>
  <c r="M78" i="6"/>
  <c r="I78" i="6"/>
  <c r="M77" i="6"/>
  <c r="I77" i="6"/>
  <c r="M76" i="6"/>
  <c r="I76" i="6"/>
  <c r="M75" i="6"/>
  <c r="I75" i="6"/>
  <c r="M74" i="6"/>
  <c r="I74" i="6"/>
  <c r="M73" i="6"/>
  <c r="I73" i="6"/>
  <c r="M72" i="6"/>
  <c r="I72" i="6"/>
  <c r="M71" i="6"/>
  <c r="I71" i="6"/>
  <c r="M70" i="6"/>
  <c r="I70" i="6"/>
  <c r="M69" i="6"/>
  <c r="I69" i="6"/>
  <c r="M68" i="6"/>
  <c r="I68" i="6"/>
  <c r="M67" i="6"/>
  <c r="I67" i="6"/>
  <c r="M66" i="6"/>
  <c r="I66" i="6"/>
  <c r="M65" i="6"/>
  <c r="I65" i="6"/>
  <c r="M64" i="6"/>
  <c r="I64" i="6"/>
  <c r="M63" i="6"/>
  <c r="I63" i="6"/>
  <c r="M62" i="6"/>
  <c r="I62" i="6"/>
  <c r="M61" i="6"/>
  <c r="I61" i="6"/>
  <c r="M60" i="6"/>
  <c r="I60" i="6"/>
  <c r="M59" i="6"/>
  <c r="I59" i="6"/>
  <c r="M58" i="6"/>
  <c r="I58" i="6"/>
  <c r="M57" i="6"/>
  <c r="I57" i="6"/>
  <c r="M56" i="6"/>
  <c r="I56" i="6"/>
  <c r="M55" i="6"/>
  <c r="I55" i="6"/>
  <c r="M54" i="6"/>
  <c r="I54" i="6"/>
  <c r="M53" i="6"/>
  <c r="I53" i="6"/>
  <c r="M52" i="6"/>
  <c r="I52" i="6"/>
  <c r="M51" i="6"/>
  <c r="I51" i="6"/>
  <c r="M50" i="6"/>
  <c r="I50" i="6"/>
  <c r="M49" i="6"/>
  <c r="I49" i="6"/>
  <c r="M48" i="6"/>
  <c r="I48" i="6"/>
  <c r="M47" i="6"/>
  <c r="I47" i="6"/>
  <c r="M46" i="6"/>
  <c r="I46" i="6"/>
  <c r="M45" i="6"/>
  <c r="I45" i="6"/>
  <c r="M44" i="6"/>
  <c r="I44" i="6"/>
  <c r="M43" i="6"/>
  <c r="I43" i="6"/>
  <c r="M42" i="6"/>
  <c r="I42" i="6"/>
  <c r="M41" i="6"/>
  <c r="I41" i="6"/>
  <c r="M40" i="6"/>
  <c r="I40" i="6"/>
  <c r="M39" i="6"/>
  <c r="I39" i="6"/>
  <c r="M38" i="6"/>
  <c r="I38" i="6"/>
  <c r="M37" i="6"/>
  <c r="I37" i="6"/>
  <c r="M36" i="6"/>
  <c r="I36" i="6"/>
  <c r="M35" i="6"/>
  <c r="I35" i="6"/>
  <c r="M34" i="6"/>
  <c r="I34" i="6"/>
  <c r="M33" i="6"/>
  <c r="I33" i="6"/>
  <c r="M32" i="6"/>
  <c r="I32" i="6"/>
  <c r="M31" i="6"/>
  <c r="I31" i="6"/>
  <c r="M30" i="6"/>
  <c r="I30" i="6"/>
  <c r="M29" i="6"/>
  <c r="I29" i="6"/>
  <c r="M28" i="6"/>
  <c r="I28" i="6"/>
  <c r="M27" i="6"/>
  <c r="I27" i="6"/>
  <c r="M26" i="6"/>
  <c r="I26" i="6"/>
  <c r="M25" i="6"/>
  <c r="I25" i="6"/>
  <c r="M24" i="6"/>
  <c r="I24" i="6"/>
  <c r="M23" i="6"/>
  <c r="I23" i="6"/>
  <c r="M22" i="6"/>
  <c r="I22" i="6"/>
  <c r="M21" i="6"/>
  <c r="I21" i="6"/>
  <c r="M20" i="6"/>
  <c r="I20" i="6"/>
  <c r="M19" i="6"/>
  <c r="I19" i="6"/>
  <c r="M18" i="6"/>
  <c r="I18" i="6"/>
  <c r="M17" i="6"/>
  <c r="I17" i="6"/>
  <c r="M16" i="6"/>
  <c r="I16" i="6"/>
  <c r="M15" i="6"/>
  <c r="I15" i="6"/>
  <c r="M14" i="6"/>
  <c r="I14" i="6"/>
  <c r="M13" i="6"/>
  <c r="I13" i="6"/>
  <c r="M12" i="6"/>
  <c r="I12" i="6"/>
  <c r="M11" i="6"/>
  <c r="I11" i="6"/>
  <c r="M10" i="6"/>
  <c r="I10" i="6"/>
  <c r="O9" i="6"/>
  <c r="M9" i="6"/>
  <c r="I9" i="6"/>
  <c r="M8" i="6"/>
  <c r="I8" i="6"/>
  <c r="O7" i="6"/>
  <c r="M7" i="6"/>
  <c r="I7" i="6"/>
  <c r="M6" i="6"/>
  <c r="I6" i="6"/>
  <c r="O5" i="6"/>
  <c r="N5" i="6"/>
  <c r="M5" i="6"/>
  <c r="I5" i="6"/>
  <c r="M4" i="6"/>
  <c r="I4" i="6"/>
  <c r="M3" i="6"/>
  <c r="I3" i="6"/>
  <c r="P5" i="6" s="1"/>
  <c r="O2" i="6"/>
  <c r="N2" i="6"/>
  <c r="M2" i="6"/>
  <c r="P2" i="6" s="1"/>
  <c r="I2" i="6"/>
  <c r="M94" i="5"/>
  <c r="I94" i="5"/>
  <c r="M93" i="5"/>
  <c r="I93" i="5"/>
  <c r="M92" i="5"/>
  <c r="I92" i="5"/>
  <c r="M91" i="5"/>
  <c r="I91" i="5"/>
  <c r="M90" i="5"/>
  <c r="I90" i="5"/>
  <c r="M89" i="5"/>
  <c r="I89" i="5"/>
  <c r="M88" i="5"/>
  <c r="I88" i="5"/>
  <c r="M87" i="5"/>
  <c r="I87" i="5"/>
  <c r="M86" i="5"/>
  <c r="I86" i="5"/>
  <c r="M85" i="5"/>
  <c r="I85" i="5"/>
  <c r="M84" i="5"/>
  <c r="I84" i="5"/>
  <c r="M83" i="5"/>
  <c r="I83" i="5"/>
  <c r="M82" i="5"/>
  <c r="I82" i="5"/>
  <c r="M81" i="5"/>
  <c r="I81" i="5"/>
  <c r="M80" i="5"/>
  <c r="I80" i="5"/>
  <c r="M79" i="5"/>
  <c r="I79" i="5"/>
  <c r="M78" i="5"/>
  <c r="I78" i="5"/>
  <c r="M77" i="5"/>
  <c r="I77" i="5"/>
  <c r="M76" i="5"/>
  <c r="I76" i="5"/>
  <c r="M75" i="5"/>
  <c r="I75" i="5"/>
  <c r="M74" i="5"/>
  <c r="I74" i="5"/>
  <c r="M73" i="5"/>
  <c r="I73" i="5"/>
  <c r="M72" i="5"/>
  <c r="I72" i="5"/>
  <c r="M71" i="5"/>
  <c r="I71" i="5"/>
  <c r="M70" i="5"/>
  <c r="I70" i="5"/>
  <c r="M69" i="5"/>
  <c r="I69" i="5"/>
  <c r="M68" i="5"/>
  <c r="I68" i="5"/>
  <c r="M67" i="5"/>
  <c r="I67" i="5"/>
  <c r="M66" i="5"/>
  <c r="I66" i="5"/>
  <c r="M65" i="5"/>
  <c r="I65" i="5"/>
  <c r="M64" i="5"/>
  <c r="I64" i="5"/>
  <c r="M63" i="5"/>
  <c r="I63" i="5"/>
  <c r="M62" i="5"/>
  <c r="I62" i="5"/>
  <c r="M61" i="5"/>
  <c r="I61" i="5"/>
  <c r="M60" i="5"/>
  <c r="I60" i="5"/>
  <c r="M59" i="5"/>
  <c r="I59" i="5"/>
  <c r="M58" i="5"/>
  <c r="I58" i="5"/>
  <c r="M57" i="5"/>
  <c r="I57" i="5"/>
  <c r="M56" i="5"/>
  <c r="I56" i="5"/>
  <c r="M55" i="5"/>
  <c r="I55" i="5"/>
  <c r="M54" i="5"/>
  <c r="I54" i="5"/>
  <c r="M53" i="5"/>
  <c r="I53" i="5"/>
  <c r="M52" i="5"/>
  <c r="I52" i="5"/>
  <c r="M51" i="5"/>
  <c r="I51" i="5"/>
  <c r="M50" i="5"/>
  <c r="I50" i="5"/>
  <c r="M49" i="5"/>
  <c r="I49" i="5"/>
  <c r="M48" i="5"/>
  <c r="I48" i="5"/>
  <c r="M47" i="5"/>
  <c r="I47" i="5"/>
  <c r="M46" i="5"/>
  <c r="I46" i="5"/>
  <c r="M45" i="5"/>
  <c r="I45" i="5"/>
  <c r="M44" i="5"/>
  <c r="I44" i="5"/>
  <c r="M43" i="5"/>
  <c r="I43" i="5"/>
  <c r="M42" i="5"/>
  <c r="I42" i="5"/>
  <c r="M41" i="5"/>
  <c r="I41" i="5"/>
  <c r="M40" i="5"/>
  <c r="I40" i="5"/>
  <c r="M39" i="5"/>
  <c r="I39" i="5"/>
  <c r="M38" i="5"/>
  <c r="I38" i="5"/>
  <c r="M37" i="5"/>
  <c r="I37" i="5"/>
  <c r="M36" i="5"/>
  <c r="I36" i="5"/>
  <c r="M35" i="5"/>
  <c r="I35" i="5"/>
  <c r="M34" i="5"/>
  <c r="I34" i="5"/>
  <c r="M33" i="5"/>
  <c r="I33" i="5"/>
  <c r="M32" i="5"/>
  <c r="I32" i="5"/>
  <c r="M31" i="5"/>
  <c r="I31" i="5"/>
  <c r="M30" i="5"/>
  <c r="I30" i="5"/>
  <c r="M29" i="5"/>
  <c r="I29" i="5"/>
  <c r="M28" i="5"/>
  <c r="I28" i="5"/>
  <c r="M27" i="5"/>
  <c r="I27" i="5"/>
  <c r="M26" i="5"/>
  <c r="I26" i="5"/>
  <c r="M25" i="5"/>
  <c r="I25" i="5"/>
  <c r="M24" i="5"/>
  <c r="I24" i="5"/>
  <c r="M23" i="5"/>
  <c r="I23" i="5"/>
  <c r="M22" i="5"/>
  <c r="I22" i="5"/>
  <c r="M21" i="5"/>
  <c r="I21" i="5"/>
  <c r="M20" i="5"/>
  <c r="I20" i="5"/>
  <c r="M19" i="5"/>
  <c r="I19" i="5"/>
  <c r="M18" i="5"/>
  <c r="I18" i="5"/>
  <c r="M17" i="5"/>
  <c r="I17" i="5"/>
  <c r="M16" i="5"/>
  <c r="I16" i="5"/>
  <c r="M15" i="5"/>
  <c r="I15" i="5"/>
  <c r="M14" i="5"/>
  <c r="I14" i="5"/>
  <c r="M13" i="5"/>
  <c r="I13" i="5"/>
  <c r="M12" i="5"/>
  <c r="I12" i="5"/>
  <c r="M11" i="5"/>
  <c r="I11" i="5"/>
  <c r="M10" i="5"/>
  <c r="I10" i="5"/>
  <c r="O9" i="5"/>
  <c r="M9" i="5"/>
  <c r="I9" i="5"/>
  <c r="M8" i="5"/>
  <c r="I8" i="5"/>
  <c r="O7" i="5"/>
  <c r="M7" i="5"/>
  <c r="I7" i="5"/>
  <c r="M6" i="5"/>
  <c r="I6" i="5"/>
  <c r="O5" i="5"/>
  <c r="N5" i="5"/>
  <c r="M5" i="5"/>
  <c r="I5" i="5"/>
  <c r="M4" i="5"/>
  <c r="I4" i="5"/>
  <c r="M3" i="5"/>
  <c r="I3" i="5"/>
  <c r="O2" i="5"/>
  <c r="N2" i="5"/>
  <c r="M2" i="5"/>
  <c r="P2" i="5" s="1"/>
  <c r="I2" i="5"/>
  <c r="P5" i="5" s="1"/>
  <c r="M94" i="4"/>
  <c r="I94" i="4"/>
  <c r="M93" i="4"/>
  <c r="I93" i="4"/>
  <c r="M92" i="4"/>
  <c r="I92" i="4"/>
  <c r="M91" i="4"/>
  <c r="I91" i="4"/>
  <c r="M90" i="4"/>
  <c r="I90" i="4"/>
  <c r="M89" i="4"/>
  <c r="I89" i="4"/>
  <c r="M88" i="4"/>
  <c r="I88" i="4"/>
  <c r="M87" i="4"/>
  <c r="I87" i="4"/>
  <c r="M86" i="4"/>
  <c r="I86" i="4"/>
  <c r="M85" i="4"/>
  <c r="I85" i="4"/>
  <c r="M84" i="4"/>
  <c r="I84" i="4"/>
  <c r="M83" i="4"/>
  <c r="I83" i="4"/>
  <c r="M82" i="4"/>
  <c r="I82" i="4"/>
  <c r="M81" i="4"/>
  <c r="I81" i="4"/>
  <c r="M80" i="4"/>
  <c r="I80" i="4"/>
  <c r="M79" i="4"/>
  <c r="I79" i="4"/>
  <c r="M78" i="4"/>
  <c r="I78" i="4"/>
  <c r="M77" i="4"/>
  <c r="I77" i="4"/>
  <c r="M76" i="4"/>
  <c r="I76" i="4"/>
  <c r="M75" i="4"/>
  <c r="I75" i="4"/>
  <c r="M74" i="4"/>
  <c r="I74" i="4"/>
  <c r="M73" i="4"/>
  <c r="I73" i="4"/>
  <c r="M72" i="4"/>
  <c r="I72" i="4"/>
  <c r="M71" i="4"/>
  <c r="I71" i="4"/>
  <c r="M70" i="4"/>
  <c r="I70" i="4"/>
  <c r="M69" i="4"/>
  <c r="I69" i="4"/>
  <c r="M68" i="4"/>
  <c r="I68" i="4"/>
  <c r="M67" i="4"/>
  <c r="I67" i="4"/>
  <c r="M66" i="4"/>
  <c r="I66" i="4"/>
  <c r="M65" i="4"/>
  <c r="I65" i="4"/>
  <c r="M64" i="4"/>
  <c r="I64" i="4"/>
  <c r="M63" i="4"/>
  <c r="I63" i="4"/>
  <c r="M62" i="4"/>
  <c r="I62" i="4"/>
  <c r="M61" i="4"/>
  <c r="I61" i="4"/>
  <c r="M60" i="4"/>
  <c r="I60" i="4"/>
  <c r="M59" i="4"/>
  <c r="I59" i="4"/>
  <c r="M58" i="4"/>
  <c r="I58" i="4"/>
  <c r="M57" i="4"/>
  <c r="I57" i="4"/>
  <c r="M56" i="4"/>
  <c r="I56" i="4"/>
  <c r="M55" i="4"/>
  <c r="I55" i="4"/>
  <c r="M54" i="4"/>
  <c r="I54" i="4"/>
  <c r="M53" i="4"/>
  <c r="I53" i="4"/>
  <c r="M52" i="4"/>
  <c r="I52" i="4"/>
  <c r="M51" i="4"/>
  <c r="I51" i="4"/>
  <c r="M50" i="4"/>
  <c r="I50" i="4"/>
  <c r="M49" i="4"/>
  <c r="I49" i="4"/>
  <c r="M48" i="4"/>
  <c r="I48" i="4"/>
  <c r="M47" i="4"/>
  <c r="I47" i="4"/>
  <c r="M46" i="4"/>
  <c r="I46" i="4"/>
  <c r="M45" i="4"/>
  <c r="I45" i="4"/>
  <c r="M44" i="4"/>
  <c r="I44" i="4"/>
  <c r="M43" i="4"/>
  <c r="I43" i="4"/>
  <c r="M42" i="4"/>
  <c r="I42" i="4"/>
  <c r="M41" i="4"/>
  <c r="I41" i="4"/>
  <c r="M40" i="4"/>
  <c r="I40" i="4"/>
  <c r="M39" i="4"/>
  <c r="I39" i="4"/>
  <c r="M38" i="4"/>
  <c r="I38" i="4"/>
  <c r="M37" i="4"/>
  <c r="I37" i="4"/>
  <c r="M36" i="4"/>
  <c r="I36" i="4"/>
  <c r="M35" i="4"/>
  <c r="I35" i="4"/>
  <c r="M34" i="4"/>
  <c r="I34" i="4"/>
  <c r="M33" i="4"/>
  <c r="I33" i="4"/>
  <c r="M32" i="4"/>
  <c r="I32" i="4"/>
  <c r="M31" i="4"/>
  <c r="I31" i="4"/>
  <c r="M30" i="4"/>
  <c r="I30" i="4"/>
  <c r="M29" i="4"/>
  <c r="I29" i="4"/>
  <c r="M28" i="4"/>
  <c r="I28" i="4"/>
  <c r="M27" i="4"/>
  <c r="I27" i="4"/>
  <c r="M26" i="4"/>
  <c r="I26" i="4"/>
  <c r="M25" i="4"/>
  <c r="I25" i="4"/>
  <c r="M24" i="4"/>
  <c r="I24" i="4"/>
  <c r="M23" i="4"/>
  <c r="I23" i="4"/>
  <c r="M22" i="4"/>
  <c r="I22" i="4"/>
  <c r="M21" i="4"/>
  <c r="I21" i="4"/>
  <c r="M20" i="4"/>
  <c r="I20" i="4"/>
  <c r="M19" i="4"/>
  <c r="I19" i="4"/>
  <c r="M18" i="4"/>
  <c r="I18" i="4"/>
  <c r="M17" i="4"/>
  <c r="I17" i="4"/>
  <c r="M16" i="4"/>
  <c r="I16" i="4"/>
  <c r="M15" i="4"/>
  <c r="I15" i="4"/>
  <c r="M14" i="4"/>
  <c r="I14" i="4"/>
  <c r="M13" i="4"/>
  <c r="I13" i="4"/>
  <c r="M12" i="4"/>
  <c r="I12" i="4"/>
  <c r="M11" i="4"/>
  <c r="I11" i="4"/>
  <c r="M10" i="4"/>
  <c r="I10" i="4"/>
  <c r="O9" i="4"/>
  <c r="M9" i="4"/>
  <c r="I9" i="4"/>
  <c r="M8" i="4"/>
  <c r="I8" i="4"/>
  <c r="O7" i="4"/>
  <c r="M7" i="4"/>
  <c r="I7" i="4"/>
  <c r="M6" i="4"/>
  <c r="I6" i="4"/>
  <c r="O5" i="4"/>
  <c r="N5" i="4"/>
  <c r="M5" i="4"/>
  <c r="I5" i="4"/>
  <c r="M4" i="4"/>
  <c r="I4" i="4"/>
  <c r="M3" i="4"/>
  <c r="I3" i="4"/>
  <c r="P5" i="4" s="1"/>
  <c r="O2" i="4"/>
  <c r="N2" i="4"/>
  <c r="M2" i="4"/>
  <c r="P2" i="4" s="1"/>
  <c r="I2" i="4"/>
  <c r="M94" i="3"/>
  <c r="I94" i="3"/>
  <c r="M93" i="3"/>
  <c r="I93" i="3"/>
  <c r="M92" i="3"/>
  <c r="I92" i="3"/>
  <c r="M91" i="3"/>
  <c r="I91" i="3"/>
  <c r="M90" i="3"/>
  <c r="I90" i="3"/>
  <c r="M89" i="3"/>
  <c r="I89" i="3"/>
  <c r="M88" i="3"/>
  <c r="I88" i="3"/>
  <c r="M87" i="3"/>
  <c r="I87" i="3"/>
  <c r="M86" i="3"/>
  <c r="I86" i="3"/>
  <c r="M85" i="3"/>
  <c r="I85" i="3"/>
  <c r="M84" i="3"/>
  <c r="I84" i="3"/>
  <c r="M83" i="3"/>
  <c r="I83" i="3"/>
  <c r="M82" i="3"/>
  <c r="I82" i="3"/>
  <c r="M81" i="3"/>
  <c r="I81" i="3"/>
  <c r="M80" i="3"/>
  <c r="I80" i="3"/>
  <c r="M79" i="3"/>
  <c r="I79" i="3"/>
  <c r="M78" i="3"/>
  <c r="I78" i="3"/>
  <c r="M77" i="3"/>
  <c r="I77" i="3"/>
  <c r="M76" i="3"/>
  <c r="I76" i="3"/>
  <c r="M75" i="3"/>
  <c r="I75" i="3"/>
  <c r="M74" i="3"/>
  <c r="I74" i="3"/>
  <c r="M73" i="3"/>
  <c r="I73" i="3"/>
  <c r="M72" i="3"/>
  <c r="I72" i="3"/>
  <c r="M71" i="3"/>
  <c r="I71" i="3"/>
  <c r="M70" i="3"/>
  <c r="I70" i="3"/>
  <c r="M69" i="3"/>
  <c r="I69" i="3"/>
  <c r="M68" i="3"/>
  <c r="I68" i="3"/>
  <c r="M67" i="3"/>
  <c r="I67" i="3"/>
  <c r="M66" i="3"/>
  <c r="I66" i="3"/>
  <c r="M65" i="3"/>
  <c r="I65" i="3"/>
  <c r="M64" i="3"/>
  <c r="I64" i="3"/>
  <c r="M63" i="3"/>
  <c r="I63" i="3"/>
  <c r="M62" i="3"/>
  <c r="I62" i="3"/>
  <c r="M61" i="3"/>
  <c r="I61" i="3"/>
  <c r="M60" i="3"/>
  <c r="I60" i="3"/>
  <c r="M59" i="3"/>
  <c r="I59" i="3"/>
  <c r="M58" i="3"/>
  <c r="I58" i="3"/>
  <c r="M57" i="3"/>
  <c r="I57" i="3"/>
  <c r="M56" i="3"/>
  <c r="I56" i="3"/>
  <c r="M55" i="3"/>
  <c r="I55" i="3"/>
  <c r="M54" i="3"/>
  <c r="I54" i="3"/>
  <c r="M53" i="3"/>
  <c r="I53" i="3"/>
  <c r="M52" i="3"/>
  <c r="I52" i="3"/>
  <c r="M51" i="3"/>
  <c r="I51" i="3"/>
  <c r="M50" i="3"/>
  <c r="I50" i="3"/>
  <c r="M49" i="3"/>
  <c r="I49" i="3"/>
  <c r="M48" i="3"/>
  <c r="I48" i="3"/>
  <c r="M47" i="3"/>
  <c r="I47" i="3"/>
  <c r="M46" i="3"/>
  <c r="I46" i="3"/>
  <c r="M45" i="3"/>
  <c r="I45" i="3"/>
  <c r="M44" i="3"/>
  <c r="I44" i="3"/>
  <c r="M43" i="3"/>
  <c r="I43" i="3"/>
  <c r="M42" i="3"/>
  <c r="I42" i="3"/>
  <c r="M41" i="3"/>
  <c r="I41" i="3"/>
  <c r="M40" i="3"/>
  <c r="I40" i="3"/>
  <c r="M39" i="3"/>
  <c r="I39" i="3"/>
  <c r="M38" i="3"/>
  <c r="I38" i="3"/>
  <c r="M37" i="3"/>
  <c r="I37" i="3"/>
  <c r="M36" i="3"/>
  <c r="I36" i="3"/>
  <c r="M35" i="3"/>
  <c r="I35" i="3"/>
  <c r="M34" i="3"/>
  <c r="I34" i="3"/>
  <c r="M33" i="3"/>
  <c r="I33" i="3"/>
  <c r="M32" i="3"/>
  <c r="I32" i="3"/>
  <c r="M31" i="3"/>
  <c r="I31" i="3"/>
  <c r="M30" i="3"/>
  <c r="I30" i="3"/>
  <c r="M29" i="3"/>
  <c r="I29" i="3"/>
  <c r="M28" i="3"/>
  <c r="I28" i="3"/>
  <c r="M27" i="3"/>
  <c r="I27" i="3"/>
  <c r="M26" i="3"/>
  <c r="I26" i="3"/>
  <c r="M25" i="3"/>
  <c r="I25" i="3"/>
  <c r="M24" i="3"/>
  <c r="I24" i="3"/>
  <c r="M23" i="3"/>
  <c r="I23" i="3"/>
  <c r="M22" i="3"/>
  <c r="I22" i="3"/>
  <c r="M21" i="3"/>
  <c r="I21" i="3"/>
  <c r="M20" i="3"/>
  <c r="I20" i="3"/>
  <c r="M19" i="3"/>
  <c r="I19" i="3"/>
  <c r="M18" i="3"/>
  <c r="I18" i="3"/>
  <c r="M17" i="3"/>
  <c r="I17" i="3"/>
  <c r="M16" i="3"/>
  <c r="I16" i="3"/>
  <c r="M15" i="3"/>
  <c r="I15" i="3"/>
  <c r="M14" i="3"/>
  <c r="I14" i="3"/>
  <c r="M13" i="3"/>
  <c r="I13" i="3"/>
  <c r="M12" i="3"/>
  <c r="I12" i="3"/>
  <c r="M11" i="3"/>
  <c r="I11" i="3"/>
  <c r="M10" i="3"/>
  <c r="I10" i="3"/>
  <c r="O9" i="3"/>
  <c r="M9" i="3"/>
  <c r="I9" i="3"/>
  <c r="M8" i="3"/>
  <c r="P2" i="3" s="1"/>
  <c r="I8" i="3"/>
  <c r="O7" i="3"/>
  <c r="M7" i="3"/>
  <c r="I7" i="3"/>
  <c r="M6" i="3"/>
  <c r="I6" i="3"/>
  <c r="O5" i="3"/>
  <c r="N5" i="3"/>
  <c r="M5" i="3"/>
  <c r="I5" i="3"/>
  <c r="M4" i="3"/>
  <c r="I4" i="3"/>
  <c r="M3" i="3"/>
  <c r="I3" i="3"/>
  <c r="P5" i="3" s="1"/>
  <c r="O2" i="3"/>
  <c r="N2" i="3"/>
  <c r="M2" i="3"/>
  <c r="I2" i="3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M86" i="2"/>
  <c r="I86" i="2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O9" i="2"/>
  <c r="M9" i="2"/>
  <c r="I9" i="2"/>
  <c r="M8" i="2"/>
  <c r="I8" i="2"/>
  <c r="O7" i="2"/>
  <c r="M7" i="2"/>
  <c r="I7" i="2"/>
  <c r="M6" i="2"/>
  <c r="I6" i="2"/>
  <c r="O5" i="2"/>
  <c r="N5" i="2"/>
  <c r="M5" i="2"/>
  <c r="I5" i="2"/>
  <c r="M4" i="2"/>
  <c r="I4" i="2"/>
  <c r="M3" i="2"/>
  <c r="I3" i="2"/>
  <c r="P5" i="2" s="1"/>
  <c r="O2" i="2"/>
  <c r="N2" i="2"/>
  <c r="M2" i="2"/>
  <c r="P2" i="2" s="1"/>
  <c r="I2" i="2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O9" i="1"/>
  <c r="M9" i="1"/>
  <c r="I9" i="1"/>
  <c r="M8" i="1"/>
  <c r="I8" i="1"/>
  <c r="M7" i="1"/>
  <c r="I7" i="1"/>
  <c r="M6" i="1"/>
  <c r="I6" i="1"/>
  <c r="O5" i="1"/>
  <c r="N5" i="1"/>
  <c r="M5" i="1"/>
  <c r="I5" i="1"/>
  <c r="M4" i="1"/>
  <c r="I4" i="1"/>
  <c r="M3" i="1"/>
  <c r="I3" i="1"/>
  <c r="O2" i="1"/>
  <c r="N2" i="1"/>
  <c r="M2" i="1"/>
  <c r="P2" i="1" s="1"/>
  <c r="I2" i="1"/>
  <c r="P5" i="1" s="1"/>
</calcChain>
</file>

<file path=xl/sharedStrings.xml><?xml version="1.0" encoding="utf-8"?>
<sst xmlns="http://schemas.openxmlformats.org/spreadsheetml/2006/main" count="3456" uniqueCount="657">
  <si>
    <t>Is there something to wipe my nose? If so where is it?</t>
  </si>
  <si>
    <t>Emission,Order</t>
  </si>
  <si>
    <t>tissue,table,toilet paper</t>
  </si>
  <si>
    <t>Emission</t>
  </si>
  <si>
    <t>toilet paper,tissue</t>
  </si>
  <si>
    <t>living room,bathroom</t>
  </si>
  <si>
    <t>Where can I take a nap?</t>
  </si>
  <si>
    <t>Laziness,Sleep</t>
  </si>
  <si>
    <t>bed,chair,sofa,private room,floor</t>
  </si>
  <si>
    <t>Sleep</t>
  </si>
  <si>
    <t>bed,sofa,pillow</t>
  </si>
  <si>
    <t>kitchen,living room,bedroom</t>
  </si>
  <si>
    <t>Where can I wash my hands?</t>
  </si>
  <si>
    <t>Toxicity avoidance</t>
  </si>
  <si>
    <t>sink,faucet,toilet</t>
  </si>
  <si>
    <t>Emission,Toxicity avoidance</t>
  </si>
  <si>
    <t>toilet,sink</t>
  </si>
  <si>
    <t>kitchen,bathroom</t>
  </si>
  <si>
    <t>Where should I store fruits that I want to last long?</t>
  </si>
  <si>
    <t>Conservance,Order</t>
  </si>
  <si>
    <t>refrigerator,kitchen cabinet</t>
  </si>
  <si>
    <t>Acquisition,Retention</t>
  </si>
  <si>
    <t>refrigerator</t>
  </si>
  <si>
    <t>kitchen</t>
  </si>
  <si>
    <t>Where can I take notes?</t>
  </si>
  <si>
    <t>Cognizance,Exposition</t>
  </si>
  <si>
    <t>desk,table,computer,mobile phone</t>
  </si>
  <si>
    <t>Cognizance,Order</t>
  </si>
  <si>
    <t>bookshelf,box,folder,table,desk,book,computer,mobile phone</t>
  </si>
  <si>
    <t>kitchen,living room</t>
  </si>
  <si>
    <t>Where can I brush my teeth?</t>
  </si>
  <si>
    <t>Conservance,Toxicity avoidance</t>
  </si>
  <si>
    <t>toothbrush,toothpaste,faucet,sink,toilet</t>
  </si>
  <si>
    <t>Exposition</t>
  </si>
  <si>
    <t>mirror</t>
  </si>
  <si>
    <t>bathroom</t>
  </si>
  <si>
    <t>Where can I set if I want to warmup?</t>
  </si>
  <si>
    <t>Temperature</t>
  </si>
  <si>
    <t>stove,bed</t>
  </si>
  <si>
    <t>stove,coffee maker,mug</t>
  </si>
  <si>
    <t>Where can I check my appearance?</t>
  </si>
  <si>
    <t>Order,Exhibition,Exposition</t>
  </si>
  <si>
    <t>Sensory,Exhibition</t>
  </si>
  <si>
    <t>mirror,mobile phone</t>
  </si>
  <si>
    <t>living room,kitchen,bathroom</t>
  </si>
  <si>
    <t>Where should I put my jackets?</t>
  </si>
  <si>
    <t>Order,Conservance</t>
  </si>
  <si>
    <t>closet,hanger</t>
  </si>
  <si>
    <t>Order,Retention</t>
  </si>
  <si>
    <t>closet,closet drawers,hanger</t>
  </si>
  <si>
    <t>living room,bathroom,bedroom</t>
  </si>
  <si>
    <t>Where can my kids go to read?</t>
  </si>
  <si>
    <t>Play,Cognizance</t>
  </si>
  <si>
    <t>book,chair,table,bed,sofa,desk</t>
  </si>
  <si>
    <t>Cognizance</t>
  </si>
  <si>
    <t>table,desk</t>
  </si>
  <si>
    <t>Where can I put my jacket?</t>
  </si>
  <si>
    <t>closet,closet drawers,hanger,towel rack,pile of clothes,floor shelf,bookshelf,box</t>
  </si>
  <si>
    <t>living room,kitchen,bathroom,bedroom</t>
  </si>
  <si>
    <t>Where can I wipe my shoes?</t>
  </si>
  <si>
    <t>cleaning sponge,rug</t>
  </si>
  <si>
    <t>Order</t>
  </si>
  <si>
    <t>towel rack,rug</t>
  </si>
  <si>
    <t>Where can I put my hat?</t>
  </si>
  <si>
    <t>closet,closet drawers,hanger,desk,table</t>
  </si>
  <si>
    <t>closet,closet drawers,hanger,cabinet,pile of clothes,wall,floor shelf,bookshelf,box,kitchen table,TV stand</t>
  </si>
  <si>
    <t>I want to take a nap.</t>
  </si>
  <si>
    <t>Sleep,Laziness</t>
  </si>
  <si>
    <t>bed,sofa,pillow,floor</t>
  </si>
  <si>
    <t>kitchen,living room,bathroom,bedroom</t>
  </si>
  <si>
    <t>Where can I sit and eat if I don't want to use the dining table?</t>
  </si>
  <si>
    <t>Hunger</t>
  </si>
  <si>
    <t>desk,chair,sofa,private room, kitchen counter, kitchen table</t>
  </si>
  <si>
    <t>Hunger,Laziness,Order</t>
  </si>
  <si>
    <t>bed,sofa,chair,floor,bathtub</t>
  </si>
  <si>
    <t>Where can I put my apples?</t>
  </si>
  <si>
    <t>wall shelf,kitchen cabinet,kitchen counter,table,desk,kitchen table,dish</t>
  </si>
  <si>
    <t>Acquisition,Order,Retention</t>
  </si>
  <si>
    <t>table,desk,bathroom counter,closet,closet drawers,cabinet,floor shelf,bookshelf,box,refrigerator,kitchen cabinet,kitchen counter,kitchen table</t>
  </si>
  <si>
    <t>Where can I dry my shoes when I come into the house?</t>
  </si>
  <si>
    <t>rug,floor</t>
  </si>
  <si>
    <t>Temperature,Order</t>
  </si>
  <si>
    <t>electric fan,ventilation fan,towel rack,floor shelf,bookshelf</t>
  </si>
  <si>
    <t>kitchen,living room,bathroom</t>
  </si>
  <si>
    <t>Where can I lay down and read a book?</t>
  </si>
  <si>
    <t>Laziness,Sleep,Cognizance</t>
  </si>
  <si>
    <t>bed,sofa,floor,private room</t>
  </si>
  <si>
    <t>Sleep,Cognizance</t>
  </si>
  <si>
    <t>Where can I warm up?</t>
  </si>
  <si>
    <t>bathtub,stove</t>
  </si>
  <si>
    <t>Where can I get drinking water?</t>
  </si>
  <si>
    <t>Thirst</t>
  </si>
  <si>
    <t>sink,water glass,faucet,mug,refrigerator</t>
  </si>
  <si>
    <t>faucet,sink,water glass,refrigerator,mug</t>
  </si>
  <si>
    <t>Where can I wash my hands on the second story of the house?</t>
  </si>
  <si>
    <t>Order,Toxicity avoidance,Emission</t>
  </si>
  <si>
    <t>sink,soap,faucet,toilet</t>
  </si>
  <si>
    <t>toilet</t>
  </si>
  <si>
    <t>Where can I hang my towel so I don't have to leave the shower to dry off?</t>
  </si>
  <si>
    <t>towel rack,hanger</t>
  </si>
  <si>
    <t>Injury avoidance,Order</t>
  </si>
  <si>
    <t>towel rack,wall</t>
  </si>
  <si>
    <t>where can I keep a photo frame?</t>
  </si>
  <si>
    <t>wall picture frame,wall shelf,desk,table</t>
  </si>
  <si>
    <t>bathroom counter,wall picture frame,wall,floor shelf,bookshelf,kitchen counter,kitchen table,TV stand</t>
  </si>
  <si>
    <t>where can I keep a couple of apples?</t>
  </si>
  <si>
    <t>Retention,Conservance,Order</t>
  </si>
  <si>
    <t>wall shelf,kitchen cabinet,kitchen counter,table,desk,refrigerator</t>
  </si>
  <si>
    <t>Retention</t>
  </si>
  <si>
    <t>closet,closet drawers,refrigerator</t>
  </si>
  <si>
    <t>where can I keep a new ironed shirt?</t>
  </si>
  <si>
    <t>closet,closet drawers,hanger,cabinet,box</t>
  </si>
  <si>
    <t>where can I sit?</t>
  </si>
  <si>
    <t>Laziness</t>
  </si>
  <si>
    <t>chair,sofa,bed,rug</t>
  </si>
  <si>
    <t>Laziness,Play</t>
  </si>
  <si>
    <t>bed,sofa,chair,nightstand,table</t>
  </si>
  <si>
    <t>where can I keep the keyboard</t>
  </si>
  <si>
    <t>desk,table</t>
  </si>
  <si>
    <t>closet,closet drawers,cabinet,box,bookshelf,kitchen table,TV stand</t>
  </si>
  <si>
    <t>where can I keep a small container with chalks?</t>
  </si>
  <si>
    <t>desk,box,table</t>
  </si>
  <si>
    <t>cabinet,box,closet,closet drawers,bookshelf,folder,kitchen cabinet</t>
  </si>
  <si>
    <t>where can I store clothes?</t>
  </si>
  <si>
    <t>Order,Conservance,Retention</t>
  </si>
  <si>
    <t>where can I store books</t>
  </si>
  <si>
    <t>wall shelf,bookshelf</t>
  </si>
  <si>
    <t>Conservance,Retention</t>
  </si>
  <si>
    <t>closet,closet drawers,folder</t>
  </si>
  <si>
    <t>Where can I place a glass of water?</t>
  </si>
  <si>
    <t>Order,Conservance,Thirst</t>
  </si>
  <si>
    <t>table,desk,kitchen counter,sink,refrigerator</t>
  </si>
  <si>
    <t>water glass,mug,wine glass</t>
  </si>
  <si>
    <t>Where can I relax and watch TV</t>
  </si>
  <si>
    <t>chair,sofa,TV,television,bed</t>
  </si>
  <si>
    <t>Laziness,Sensory</t>
  </si>
  <si>
    <t>bed,sofa,chair,rug</t>
  </si>
  <si>
    <t>where can i find something to drink</t>
  </si>
  <si>
    <t>sink,faucet,refrigerator,table,desk</t>
  </si>
  <si>
    <t>faucet,sink,water glass,refrigerator,mug,wine glass,coffee maker,coffee pot</t>
  </si>
  <si>
    <t>Where can i relax a bit</t>
  </si>
  <si>
    <t>chair,bed,rug,sofa,bathtub,private room</t>
  </si>
  <si>
    <t>bathtub,bed,pillow,sofa,chair,rug,private room</t>
  </si>
  <si>
    <t>Where can I use the bathroom?</t>
  </si>
  <si>
    <t>Where can I clean fruit while facing the dining room table?</t>
  </si>
  <si>
    <t>Toxicity avoidance,Order</t>
  </si>
  <si>
    <t>sink,kitchen counter</t>
  </si>
  <si>
    <t>Order,Construction</t>
  </si>
  <si>
    <t>kitchen counter</t>
  </si>
  <si>
    <t>Where can I put my scarf?</t>
  </si>
  <si>
    <t>closet,hanger,closet drawers</t>
  </si>
  <si>
    <t>hanger,closet,closet drawers,pile of clothes,wall,bookshelf,box,folder</t>
  </si>
  <si>
    <t>Where can I find the time?</t>
  </si>
  <si>
    <t>Order,Cognizance</t>
  </si>
  <si>
    <t>TV,cell phone,computer</t>
  </si>
  <si>
    <t>computer,mobile phone,TV,television</t>
  </si>
  <si>
    <t>Where can I watch a movie?</t>
  </si>
  <si>
    <t>Play</t>
  </si>
  <si>
    <t>TV,sofa,chair,television</t>
  </si>
  <si>
    <t>Sensory,Cognizance,Exposition,Play</t>
  </si>
  <si>
    <t>sofa,TV,television,computer,mobile phone</t>
  </si>
  <si>
    <t>I need to take a nap.</t>
  </si>
  <si>
    <t>bed,chair,sofa,pillow</t>
  </si>
  <si>
    <t>bed,pillow,sofa</t>
  </si>
  <si>
    <t>Where can I find the pink bowl?</t>
  </si>
  <si>
    <t>Hunger,Order,Acquisition</t>
  </si>
  <si>
    <t>bowl,kitchen cabinet, kitchen counter,kitchen table,dishwasher</t>
  </si>
  <si>
    <t>Acquisition,Order</t>
  </si>
  <si>
    <t>kitchen cabinet,kitchen counter,kitchen table</t>
  </si>
  <si>
    <t>Where can I store my luggage?</t>
  </si>
  <si>
    <t>closet,closet drawers,wall shelf,cabinet,box</t>
  </si>
  <si>
    <t>Retention,Conservance</t>
  </si>
  <si>
    <t>closet,closet drawers</t>
  </si>
  <si>
    <t>Where can I find my toothbrush?</t>
  </si>
  <si>
    <t>bathroom cabinet,toothbrush,toothpaste,sink</t>
  </si>
  <si>
    <t>bathroom counter,sink,cabinet,kitchen cabinet,kitchen counter</t>
  </si>
  <si>
    <t>kitchen,bathroom,bedroom</t>
  </si>
  <si>
    <t>Where can I get water?</t>
  </si>
  <si>
    <t>Thirst,Acquisition</t>
  </si>
  <si>
    <t>faucet,sink,refrigerator</t>
  </si>
  <si>
    <t>Where can I store my undergarments?</t>
  </si>
  <si>
    <t>closet,closet drawers,cabinet,box,floor shelf</t>
  </si>
  <si>
    <t>Where can I charge my laptop?</t>
  </si>
  <si>
    <t>Conservance,Acquisition</t>
  </si>
  <si>
    <t>power socket,table,desk,computer</t>
  </si>
  <si>
    <t>desk,table,power socket</t>
  </si>
  <si>
    <t>Where can you see the lamp?</t>
  </si>
  <si>
    <t>table lamp,ceiling lamp,wall lamp,nightstand</t>
  </si>
  <si>
    <t>Where can I keep my shirt?</t>
  </si>
  <si>
    <t>hanger,closet,closet drawers,shirt</t>
  </si>
  <si>
    <t>Conservance,Order,Retention</t>
  </si>
  <si>
    <t>hanger,closet,closet drawers,pile of clothes,box</t>
  </si>
  <si>
    <t>Where can the baby play?</t>
  </si>
  <si>
    <t>rug,private room,sofa,floor</t>
  </si>
  <si>
    <t>Play,Nurturance</t>
  </si>
  <si>
    <t>rug,sofa,table,floor</t>
  </si>
  <si>
    <t>Where can the adult take a nap?</t>
  </si>
  <si>
    <t>bed,sofa</t>
  </si>
  <si>
    <t>Where can you change baby's diaper?</t>
  </si>
  <si>
    <t>Emission,Nursing,Order</t>
  </si>
  <si>
    <t>bed,toilet,bathtub,floor</t>
  </si>
  <si>
    <t>Emission,Nurturance</t>
  </si>
  <si>
    <t>floor,bed</t>
  </si>
  <si>
    <t>Where can I write math equations?</t>
  </si>
  <si>
    <t>desk,table,computer,call phone</t>
  </si>
  <si>
    <t>Cognizance,Exposition,Exhibition</t>
  </si>
  <si>
    <t>table,desk,computer,mobile phone</t>
  </si>
  <si>
    <t>Where can I dry my hands?</t>
  </si>
  <si>
    <t>towel,sink,faucet</t>
  </si>
  <si>
    <t>Where can I have a seat?</t>
  </si>
  <si>
    <t>chair,sofa,bed,rug,sofa,floor</t>
  </si>
  <si>
    <t>bed,sofa,chair</t>
  </si>
  <si>
    <t>Where can I sit down and rest?</t>
  </si>
  <si>
    <t>sofa,bed,rug,chair</t>
  </si>
  <si>
    <t>bed,sofa,chair,table,rug,floor</t>
  </si>
  <si>
    <t>Where can I store some fruits so that they last long?</t>
  </si>
  <si>
    <t>Order,Conservance,Toxicity avoidance</t>
  </si>
  <si>
    <t>refrigerator,wall shelf</t>
  </si>
  <si>
    <t>Where can I get some pop drinks?</t>
  </si>
  <si>
    <t>Where can I throw away paper waste in this room?</t>
  </si>
  <si>
    <t>Order,Emission</t>
  </si>
  <si>
    <t>garbage</t>
  </si>
  <si>
    <t>living room</t>
  </si>
  <si>
    <t>where can I sit to rest?</t>
  </si>
  <si>
    <t>where can I place my food for comfortably having lunch?</t>
  </si>
  <si>
    <t>Hunger,Order</t>
  </si>
  <si>
    <t>table,desk,dish,kitchen table</t>
  </si>
  <si>
    <t>Hunger,Cognizance</t>
  </si>
  <si>
    <t>Where can I place a bottle of shampoo while I shower?</t>
  </si>
  <si>
    <t>Order,Injury avoidance</t>
  </si>
  <si>
    <t>bathroom cabinet,bathroom counter</t>
  </si>
  <si>
    <t>bathroom counter,sink,towel rack,floor shelf</t>
  </si>
  <si>
    <t>Where can I place another towel to dry?</t>
  </si>
  <si>
    <t>towel rack,bathroom counter,hanger,closet,closet drawer,ceiling,cabinet,wall shelf</t>
  </si>
  <si>
    <t>hanger,towel rack,wall,bookshelf,kitchen counter</t>
  </si>
  <si>
    <t>Where can I charge my computer?</t>
  </si>
  <si>
    <t>Conservance,Retention,Acquisition</t>
  </si>
  <si>
    <t>power socket,computer</t>
  </si>
  <si>
    <t>Acquisition,Construction,Play,Cognizance,Achievement,Exhibition</t>
  </si>
  <si>
    <t>desk,table,power socket,desk,table,desk,table</t>
  </si>
  <si>
    <t>Where can I dispose of small bathroom waste items like tissue paper?</t>
  </si>
  <si>
    <t>toilet,tissue</t>
  </si>
  <si>
    <t>Where can I set up a place to study?</t>
  </si>
  <si>
    <t>desk,table,computer,chair</t>
  </si>
  <si>
    <t>Where can you find a painting?</t>
  </si>
  <si>
    <t>Cognizance,play</t>
  </si>
  <si>
    <t>wall picture frame,book,TV,television</t>
  </si>
  <si>
    <t>Acquisition,Cognizance,Exhibition</t>
  </si>
  <si>
    <t>wall,closet</t>
  </si>
  <si>
    <t>Where can I work in this place?</t>
  </si>
  <si>
    <t>desk,table,chair,computer</t>
  </si>
  <si>
    <t>Achievement</t>
  </si>
  <si>
    <t>desk,table,chair,CPU screen,keyboard,computer,mouse</t>
  </si>
  <si>
    <t>Where can I sit to work?</t>
  </si>
  <si>
    <t>Achievement,Cognizance</t>
  </si>
  <si>
    <t>chair,desk,computer,sofa</t>
  </si>
  <si>
    <t>table,desk,chair</t>
  </si>
  <si>
    <t>Where can I rest?</t>
  </si>
  <si>
    <t>bed,chair,sofa,rug,floor,bathtub</t>
  </si>
  <si>
    <t>Sleep,Laziness,Temperature</t>
  </si>
  <si>
    <t>bed,sofa,pillow,chair,floor</t>
  </si>
  <si>
    <t>Where can I write something?</t>
  </si>
  <si>
    <t>table,desk,computer</t>
  </si>
  <si>
    <t>Conservance</t>
  </si>
  <si>
    <t>Where should I put my jackets and shoes?</t>
  </si>
  <si>
    <t>closet</t>
  </si>
  <si>
    <t>closet,closet drawers,hanger,floor shelf,box</t>
  </si>
  <si>
    <t>After washing my hands in the sink,what should I use to dry my hands?</t>
  </si>
  <si>
    <t>towel,tissue,towel rack</t>
  </si>
  <si>
    <t>towel rack</t>
  </si>
  <si>
    <t>I want to host a dinner party on a summer evening,where should I set the table?</t>
  </si>
  <si>
    <t>Hunger,Play,Construction</t>
  </si>
  <si>
    <t>kitchen table,table,sofa,chair,privete room</t>
  </si>
  <si>
    <t>Order,Acquisition,Exhibition,Nurturance</t>
  </si>
  <si>
    <t>table,kitchen table</t>
  </si>
  <si>
    <t>I need to charge my laptop,where can I find a power outlet?</t>
  </si>
  <si>
    <t>computer</t>
  </si>
  <si>
    <t>Acquisition</t>
  </si>
  <si>
    <t>desk,table,CPU screen,computer</t>
  </si>
  <si>
    <t>Where should I look if I want to research a topic?</t>
  </si>
  <si>
    <t>computer,book,CPU screen</t>
  </si>
  <si>
    <t>book,computer,mobile phone</t>
  </si>
  <si>
    <t>Where should I sit to watch tv?</t>
  </si>
  <si>
    <t>Laziness,Play,Cognizance</t>
  </si>
  <si>
    <t>chair,sofa</t>
  </si>
  <si>
    <t>Play,Sensory</t>
  </si>
  <si>
    <t>floor,chair,sofa,table</t>
  </si>
  <si>
    <t>Where should I take a nap?</t>
  </si>
  <si>
    <t>bed,chair,sofa,rug</t>
  </si>
  <si>
    <t>bed,sofa,pillow,rug</t>
  </si>
  <si>
    <t>Where should I sleep if I need to charge my phone?</t>
  </si>
  <si>
    <t>Sleep,Retention</t>
  </si>
  <si>
    <t>bed,power socket,sofa,chair</t>
  </si>
  <si>
    <t>bed,sofa,nightstand</t>
  </si>
  <si>
    <t>Where should I sit if I don't want to move anything?</t>
  </si>
  <si>
    <t>Order,Laziness</t>
  </si>
  <si>
    <t>Laziness,Retention</t>
  </si>
  <si>
    <t>floor,bed,sofa,chair,rug</t>
  </si>
  <si>
    <t>Where should I sit if I want to work?</t>
  </si>
  <si>
    <t>Cognizance,Acquisition</t>
  </si>
  <si>
    <t>chair,desk,computer,table</t>
  </si>
  <si>
    <t>Cognizance,Achievement</t>
  </si>
  <si>
    <t>Where should I keep the pizza for the meeting?</t>
  </si>
  <si>
    <t>Hunger,Conservance,Order</t>
  </si>
  <si>
    <t>refrigerator,kitchen counter,kitchen table</t>
  </si>
  <si>
    <t>Retention,Order</t>
  </si>
  <si>
    <t>refrigerator,kitchen cabinet,kitchen counter,kitchen table</t>
  </si>
  <si>
    <t>I need to fix something and may require a screwdriver,where should I look?</t>
  </si>
  <si>
    <t>wall shelf,cabinet,closet,box</t>
  </si>
  <si>
    <t>Construction,Acquisition</t>
  </si>
  <si>
    <t>I have a couple of mails that I would like to deliver through USPS,so where should I put them?</t>
  </si>
  <si>
    <t>box</t>
  </si>
  <si>
    <t>box,folder</t>
  </si>
  <si>
    <t>I need to get rid of the stack of papers on my desk. Where should I put it?</t>
  </si>
  <si>
    <t>wall shelf,garbage,cabinet,bookshelf,box</t>
  </si>
  <si>
    <t>closet,closet drawers,cabinet,floor shelf,bookshelf,box,folder,table</t>
  </si>
  <si>
    <t>Where should I put the wire to charge my computer if I'm sitting at the desk with the backpack on it?</t>
  </si>
  <si>
    <t>desk,computer,power socket,table</t>
  </si>
  <si>
    <t>floor shelf,bookshelf,kitchen counter,kitchen table,TV stand</t>
  </si>
  <si>
    <t>Where did I put my pink shirt?</t>
  </si>
  <si>
    <t>Acquisition,Conservance,Order</t>
  </si>
  <si>
    <t>closet,hanger,pile of clothes</t>
  </si>
  <si>
    <t>closet,closet drawers,hanger,pile of clothes</t>
  </si>
  <si>
    <t>How can I cool myself off?</t>
  </si>
  <si>
    <t>ventilation fan,electric fan</t>
  </si>
  <si>
    <t>electric fan,ventilation fan,water glass,refrigerator,bathtub</t>
  </si>
  <si>
    <t>Where do I reach for laundry detergent?</t>
  </si>
  <si>
    <t>dishwashing liquid,washing machine,cleaning sponge,bathroom cabinet,cabinet</t>
  </si>
  <si>
    <t>cabinet,closet,floor shelf,closet drawers,kitchen cabinet</t>
  </si>
  <si>
    <t>Where could i wash my hands</t>
  </si>
  <si>
    <t>sink,soap,faucet</t>
  </si>
  <si>
    <t>faucet,sink</t>
  </si>
  <si>
    <t>What should I do to cool down?</t>
  </si>
  <si>
    <t>electric fan,water glass,ventilation fan,refrigerator,bathtub</t>
  </si>
  <si>
    <t>Where do I throw away food packages?</t>
  </si>
  <si>
    <t>bathroom,living room</t>
  </si>
  <si>
    <t>bed,sofa,floor</t>
  </si>
  <si>
    <t>living room,bathroom,bedroom,kitchen</t>
  </si>
  <si>
    <t>refrigerator,closet,closet drawers</t>
  </si>
  <si>
    <t>living room,bathroom,kitchen,bedroom</t>
  </si>
  <si>
    <t>table,desk,book,computer,mobile phone</t>
  </si>
  <si>
    <t>living room,kitchen</t>
  </si>
  <si>
    <t>electric fan,ventilation fan,stove</t>
  </si>
  <si>
    <t>Exhibition</t>
  </si>
  <si>
    <t>living room,bathroom,kitchen</t>
  </si>
  <si>
    <t>Cognizance,Play</t>
  </si>
  <si>
    <t>private room,rug,chair,sofa,table,desk,floor</t>
  </si>
  <si>
    <t>hanger,closet,closet drawers</t>
  </si>
  <si>
    <t>refrigerator,stove</t>
  </si>
  <si>
    <t>table,chair,floor,closet,closet drawers,wall,floor shelf,rug</t>
  </si>
  <si>
    <t>bed,sofa,floor,rug</t>
  </si>
  <si>
    <t>bathroom,kitchen</t>
  </si>
  <si>
    <t>bathroom counter,towel rack,wall,floor shelf</t>
  </si>
  <si>
    <t>closet,closet drawers,hanger,cabinet,pile of clothes,box</t>
  </si>
  <si>
    <t>living room,bedroom,kitchen</t>
  </si>
  <si>
    <t>Acquisition,Conservance,Retention</t>
  </si>
  <si>
    <t>desk,table,closet,closet drawers</t>
  </si>
  <si>
    <t>bedroom,bathroom,living room,kitchen</t>
  </si>
  <si>
    <t>bathtub,sink,mirror,refrigerator</t>
  </si>
  <si>
    <t>bathtub,bed,sofa,chair</t>
  </si>
  <si>
    <t>kitchen counter,kitchen table</t>
  </si>
  <si>
    <t>Sensory</t>
  </si>
  <si>
    <t>floor</t>
  </si>
  <si>
    <t>Acquisition,Exposition</t>
  </si>
  <si>
    <t>No items match the request.</t>
  </si>
  <si>
    <t>The example list provided does not contain any objects that are associated with storing or finding a toothbrush. To find a toothbrush, you might typically look in areas or objects such as a bathroom cabinet, toothbrush holder, or storage drawers, none of which are listed here. Therefore, no objects from the provided list satisfy the user's request for finding a toothbrush.
Output:
(Empty, as no relevant objects from the list match the request.)</t>
  </si>
  <si>
    <t>desk,table,computer</t>
  </si>
  <si>
    <t>Cognizance,Sensory</t>
  </si>
  <si>
    <t>private room,rug,sofa,floor</t>
  </si>
  <si>
    <t>computer,mobile phone</t>
  </si>
  <si>
    <t>bed,sofa,chair,table,floor,rug</t>
  </si>
  <si>
    <t>bathroom counter,sink,towel rack,cabinet,wall,floor shelf,soap</t>
  </si>
  <si>
    <t>bathroom counter,hanger,towel rack,wall,floor shelf,bookshelf,kitchen counter</t>
  </si>
  <si>
    <t>toilet,garbage</t>
  </si>
  <si>
    <t>living room,kitchen,bedroom</t>
  </si>
  <si>
    <t>desk,table,chair,CPU screen,computer</t>
  </si>
  <si>
    <t>bedroom,living room,kitchen</t>
  </si>
  <si>
    <t>bed,sofa,chair,floor</t>
  </si>
  <si>
    <t>refrigerator,kitchen cabinet,kitchen counter</t>
  </si>
  <si>
    <t>closet,closet drawers,hanger,floor shelf</t>
  </si>
  <si>
    <t>Sensory,Sociability,Temperature</t>
  </si>
  <si>
    <t>floor,table,water glass</t>
  </si>
  <si>
    <t>Achievement,Order</t>
  </si>
  <si>
    <t>desk,table,chair</t>
  </si>
  <si>
    <t>Hunger,Order,Retention</t>
  </si>
  <si>
    <t>Conservance,Construction</t>
  </si>
  <si>
    <t>hanger socket</t>
  </si>
  <si>
    <t>mailbox,post office,mail slot</t>
  </si>
  <si>
    <t>box,folder,garbage,bookshelf</t>
  </si>
  <si>
    <t>Acquisition,Construction</t>
  </si>
  <si>
    <t>There are no objects in the provided list that would satisfy the user's request for a "pink shirt."</t>
  </si>
  <si>
    <t>electric fan,ventilation fan,refrigerator,bathtub</t>
  </si>
  <si>
    <t>bathroom,living room,kitchen</t>
  </si>
  <si>
    <t>tissue</t>
  </si>
  <si>
    <t>table</t>
  </si>
  <si>
    <t>Emission, Conservance</t>
  </si>
  <si>
    <t>Injury avoidance,Nurturance</t>
  </si>
  <si>
    <t>bathroom cabinet</t>
  </si>
  <si>
    <t>Hygiene</t>
  </si>
  <si>
    <t>sink,bathroom,kitchen sink</t>
  </si>
  <si>
    <t>closet,closet drawers,hanger,pile of clothes,floor shelf,box</t>
  </si>
  <si>
    <t>bedroom,kitchen,bathroom,living room</t>
  </si>
  <si>
    <t>Cognizance,Nurturance</t>
  </si>
  <si>
    <t>table,desk,bed,floor</t>
  </si>
  <si>
    <t>closet,closet drawers,hanger,pile of clothes,wall,floor shelf,bookshelf,box,table,desk</t>
  </si>
  <si>
    <t>rug,garbage</t>
  </si>
  <si>
    <t>closet,hanger,pile of clothes,floor shelf,bookshelf,box</t>
  </si>
  <si>
    <t>Laziness,Hunger,Exposition</t>
  </si>
  <si>
    <t>floor,bed,sofa,chair,rug,desk</t>
  </si>
  <si>
    <t>closet,closet drawers,box,refrigerator,kitchen cabinet,kitchen counter,kitchen table</t>
  </si>
  <si>
    <t>floor shelf,closet,closet drawers,hanger,wall,floor shelf,bookshelf,rug</t>
  </si>
  <si>
    <t>Laziness,Sensory,Sleep,Cognizance</t>
  </si>
  <si>
    <t>bathtub,bed,mug,stove</t>
  </si>
  <si>
    <t>Injury avoidance,Exposition</t>
  </si>
  <si>
    <t>Construction,Order</t>
  </si>
  <si>
    <t>wall picture frame,wall,floor shelf,bookshelf,TV stand</t>
  </si>
  <si>
    <t>closet,closet drawers,hanger,wall,bookshelf,box</t>
  </si>
  <si>
    <t>Laziness,Order</t>
  </si>
  <si>
    <t>floor,bed,sofa,chair,table,kitchen table</t>
  </si>
  <si>
    <t>closet,closet drawers,cabinet,floor shelf,bookshelf,box,kitchen cabinet,kitchen table,TV stand,computer</t>
  </si>
  <si>
    <t>bathroom counter,closet,closet drawers,wall picture frame,cabinet,floor shelf,bookshelf,box,kitchen cabinet,kitchen counter,kitchen table,TV stand</t>
  </si>
  <si>
    <t>closet,closet drawers,hanger,pile of clothes,box</t>
  </si>
  <si>
    <t>Retention,Order,Construction</t>
  </si>
  <si>
    <t>closet,closet drawers,cabinet,box,floor shelf,bookshelf,TV stand</t>
  </si>
  <si>
    <t>Order,Exposition</t>
  </si>
  <si>
    <t>kitchen counter,kitchen table,table</t>
  </si>
  <si>
    <t>closet,closet drawers,hanger,pile of clothes,floor shelf,bookshelf,box</t>
  </si>
  <si>
    <t>Sensory,Play</t>
  </si>
  <si>
    <t>sofa,chair,TV,television,mobile phone</t>
  </si>
  <si>
    <t>Cognizance,Retention</t>
  </si>
  <si>
    <t>Sorry, none of the objects in the provided list are suitable places to find a toothbrush.</t>
  </si>
  <si>
    <t>closet,closet drawers,box,cabinet,floor shelf</t>
  </si>
  <si>
    <t>Acquisition,Emission</t>
  </si>
  <si>
    <t>closet,closet drawers,hanger,cabinet,pile of clothes,floor shelf,box,closet,closet drawers</t>
  </si>
  <si>
    <t>floor,rug,private room,sofa,bed</t>
  </si>
  <si>
    <t>Nursing</t>
  </si>
  <si>
    <t>rug,bed,floor,pillow,sofa</t>
  </si>
  <si>
    <t>Sensory,Order</t>
  </si>
  <si>
    <t>towel rack,closet drawers,pile of clothes,wall,closet,bathtub,bookshelf</t>
  </si>
  <si>
    <t>Rest</t>
  </si>
  <si>
    <t>chair,sofa,bench,stool,armchair,love seat,rocking chair,bean bag,booth</t>
  </si>
  <si>
    <t>Laziness,Rest</t>
  </si>
  <si>
    <t>bed,sofa,chair,chair,sofa,table,table</t>
  </si>
  <si>
    <t>Hunger,Cognizance,Order</t>
  </si>
  <si>
    <t>table,kitchen table,desk</t>
  </si>
  <si>
    <t>bathroom counter,wall,floor shelf</t>
  </si>
  <si>
    <t>bathroom counter,closet,hanger,sink,towel rack,wall,bookshelf,floor shelf,kitchen counter,kitchen table,table,desk</t>
  </si>
  <si>
    <t>garbage,toilet,sink</t>
  </si>
  <si>
    <t>bookshelf,table,desk</t>
  </si>
  <si>
    <t>Achievement,Exposition</t>
  </si>
  <si>
    <t>Order,Achievement</t>
  </si>
  <si>
    <t>desk,table,chair,kitchen table</t>
  </si>
  <si>
    <t>Exposition,Nurturance</t>
  </si>
  <si>
    <t>Order,Acquisition</t>
  </si>
  <si>
    <t>Exhibition,Play,Construction</t>
  </si>
  <si>
    <t>table,private room,chair,wine glass</t>
  </si>
  <si>
    <t>Acquisition,Sensory</t>
  </si>
  <si>
    <t>floor,chair,sofa</t>
  </si>
  <si>
    <t>Sleep,Acquisition</t>
  </si>
  <si>
    <t>Construction,Hunger</t>
  </si>
  <si>
    <t>refrigerator,microwave,stove</t>
  </si>
  <si>
    <t>bookshelf,box,folder,garbage</t>
  </si>
  <si>
    <t>desk,floor shelf,kitchen table</t>
  </si>
  <si>
    <t>bedroom,bathroom,living room</t>
  </si>
  <si>
    <t>Toxicity avoidance,Acquisition,Order</t>
  </si>
  <si>
    <t>towel rack,closet drawers,closet,kitchen cabinet,kitchen counter,kitchen table</t>
  </si>
  <si>
    <t>Acquisition,Cognizance</t>
  </si>
  <si>
    <t>bathroom,sink,toothbrush</t>
  </si>
  <si>
    <t>stove,coffee maker</t>
  </si>
  <si>
    <t>living room,bedroom,bathroom</t>
  </si>
  <si>
    <t>desk,book</t>
  </si>
  <si>
    <t>closet,hanger,pile of clothes,rug</t>
  </si>
  <si>
    <t>living room,kitchen,bedroom,bathroom</t>
  </si>
  <si>
    <t>bathroom counter,sink,towel rack,rug</t>
  </si>
  <si>
    <t>desk,table,chiar,closet,hanger,box,refrigerator,kitchen cabinet,kitchen counter,kitchen table,rug</t>
  </si>
  <si>
    <t>Hunger, Laziness</t>
  </si>
  <si>
    <t>sofa</t>
  </si>
  <si>
    <t>refrigerator,kitchen cabinet,kitchen counter,kitchen table,box</t>
  </si>
  <si>
    <t>ventilation fan</t>
  </si>
  <si>
    <t>Sleep,Play,Cognizance</t>
  </si>
  <si>
    <t>bed,sofa,private room,chair,rug,floor</t>
  </si>
  <si>
    <t>bathtub,stove,coffee maker</t>
  </si>
  <si>
    <t>faucet,sink,refrigerator,water glass,mug</t>
  </si>
  <si>
    <t>bathtub,chair</t>
  </si>
  <si>
    <t>desk,table,bathroom counter,kitchen counter,TV stand,wallet,wall</t>
  </si>
  <si>
    <t>closet,hanger,closet drawers,box</t>
  </si>
  <si>
    <t>floor,bed,sofa,chair,table,rug</t>
  </si>
  <si>
    <t>Order,Retentio</t>
  </si>
  <si>
    <t>closet,desk,cabinet,floor shelf,kitchen counter,kitchen table,bookshelf</t>
  </si>
  <si>
    <t>box,cabinet,bookshelf,folder</t>
  </si>
  <si>
    <t>kitchen,bedroom</t>
  </si>
  <si>
    <t>hanger,closet,closet drawers,box,floor shelf</t>
  </si>
  <si>
    <t>closet,folder</t>
  </si>
  <si>
    <t>sink,refrigerator,mug,wine glass,coffee maker,coffee pot</t>
  </si>
  <si>
    <t>sofa,chair,TV,television</t>
  </si>
  <si>
    <t>bathtub,bed,sofa,chair,private room</t>
  </si>
  <si>
    <t>kitchen counter,kitchen table,sink</t>
  </si>
  <si>
    <t>Order,Retention,Conservance</t>
  </si>
  <si>
    <t>hanger,closet,closet drawers,towel rack</t>
  </si>
  <si>
    <t>TV,television</t>
  </si>
  <si>
    <t>none</t>
  </si>
  <si>
    <t>closet,box,cabinet,bookshelf</t>
  </si>
  <si>
    <t>faucet,sink,refrigerator,water glass,mug,wine glass,coffee maker,coffee pot</t>
  </si>
  <si>
    <t>Retentio n, Conservance, Order</t>
  </si>
  <si>
    <t>drawer,box,wardrobe</t>
  </si>
  <si>
    <t>bathtub,rug,sofa,table,floor</t>
  </si>
  <si>
    <t>bathtub,bed,changing table,floor,sofa</t>
  </si>
  <si>
    <t>floor,bed,sofa,chair,table</t>
  </si>
  <si>
    <t>table,kitchen counter,kitchen table,desk</t>
  </si>
  <si>
    <t>bathroom counter,sink,cabinet,floor shelf</t>
  </si>
  <si>
    <t>kitchen,bedroom,bathroom</t>
  </si>
  <si>
    <t>bathroom counter,towel rack,hanger,closet,closet drawers,floor shelf,box</t>
  </si>
  <si>
    <t>Exposition,Exhibition,Cognizance</t>
  </si>
  <si>
    <t>desk,computer</t>
  </si>
  <si>
    <t>desk,table,chair,kitchen counter,kitchen table</t>
  </si>
  <si>
    <t>towel,hand dryer</t>
  </si>
  <si>
    <t>Hunger,Thirst,Achievement</t>
  </si>
  <si>
    <t>table,chair,wine glass</t>
  </si>
  <si>
    <t>sofa,chair,floor</t>
  </si>
  <si>
    <t>bed,nightstand</t>
  </si>
  <si>
    <t>living room,bedroom</t>
  </si>
  <si>
    <t>floor,sofa,chair</t>
  </si>
  <si>
    <t>desk,kitchen table,computer</t>
  </si>
  <si>
    <t>table,kitchen counter,refrigerator,kitchen cabinet</t>
  </si>
  <si>
    <t>Construction</t>
  </si>
  <si>
    <t>box,folder,garbage</t>
  </si>
  <si>
    <t>desk</t>
  </si>
  <si>
    <t>closet,closet drawers,pile of clothes,hanger</t>
  </si>
  <si>
    <t>None</t>
  </si>
  <si>
    <t>electric fan,ventilation fan,refrigerator,bathtub,watter glass</t>
  </si>
  <si>
    <t>bed,sofa,pillow,chair,rug</t>
  </si>
  <si>
    <t>kitchen,living room,bedroom,bathroom</t>
  </si>
  <si>
    <t>bathroom counter,sink</t>
  </si>
  <si>
    <t>electric fan,ventilation fan,refrigerator,coffee maker,stove</t>
  </si>
  <si>
    <t>Exhibition,Cognizance</t>
  </si>
  <si>
    <t>closet,hanger,floor shelf,bookshelf,pile of clothes</t>
  </si>
  <si>
    <t>bathroom counter,closet,hanger,towel rack,wall,floor shelf,bookshelf,box,kitchen cabinet,kitchen counter,kitchen table,rug</t>
  </si>
  <si>
    <t>sofa,kitchen counter,bathroom counter,TV stand</t>
  </si>
  <si>
    <t>electric fan,ventilation fan,towel rack,hanger</t>
  </si>
  <si>
    <t>kitchen,bedroom,living room,bathroom</t>
  </si>
  <si>
    <t>Sleep,Play</t>
  </si>
  <si>
    <t>bed,sofa,chair,private room</t>
  </si>
  <si>
    <t>stove,bathtub,coffee maker</t>
  </si>
  <si>
    <t>hanger socket,towel rack</t>
  </si>
  <si>
    <t>wall,bookshelf,table,desk,cabinet,closet,floor shelf</t>
  </si>
  <si>
    <t>closet,box,bookshelf,cabinet,closet drawers,kitchen counter,kitchen table,floor shelf</t>
  </si>
  <si>
    <t>soap,bathtub,deodorant,face cream,faucet,sink,toilet paper,toothbrush,toothpaste,towel,washing machine,cleaning,floor sponge,mirror,dishwasher,dishwashing liquid,refrigerator,ventilation fan,cleaning sponge,garbage</t>
  </si>
  <si>
    <t>closet,closet drawers,hanger,box,floor shelf,bookshelf</t>
  </si>
  <si>
    <t>shelf,bookcase,library,box</t>
  </si>
  <si>
    <t>sofa,private room,TV,television</t>
  </si>
  <si>
    <t>Sleep, Laziness</t>
  </si>
  <si>
    <t>sink,cleaning sponge,dishwashing liquid</t>
  </si>
  <si>
    <t>hanger,closet,towel rack</t>
  </si>
  <si>
    <t>mobile phone,computer,TV,television</t>
  </si>
  <si>
    <t>toothbrush,toothpaste,sink,bathroom counter,cabinet</t>
  </si>
  <si>
    <t>closet,closet drawers,hanger,box</t>
  </si>
  <si>
    <t>hanger,closet,closet drawers,box</t>
  </si>
  <si>
    <t>bathtub,rug,sofa,floor</t>
  </si>
  <si>
    <t>bed,sofa,chiar</t>
  </si>
  <si>
    <t>Play,Order</t>
  </si>
  <si>
    <t>chair,sofa,table</t>
  </si>
  <si>
    <t>Hunger,Order,Conservance</t>
  </si>
  <si>
    <t>table,kitchen counter</t>
  </si>
  <si>
    <t>bathtub,bathroom counter,towel rack,cabinet</t>
  </si>
  <si>
    <t>bedroom,bathroom</t>
  </si>
  <si>
    <t>towel rack,bathroom counter,closet,floor shelf</t>
  </si>
  <si>
    <t>Temperature,Acquisition</t>
  </si>
  <si>
    <t>kitchen,bedroom,living room</t>
  </si>
  <si>
    <t>kitchen counter,kitchen table,computer</t>
  </si>
  <si>
    <t>closet,hanger,box</t>
  </si>
  <si>
    <t>tissue,garbage</t>
  </si>
  <si>
    <t>Order,Achievement,Play</t>
  </si>
  <si>
    <t>kitchen table,table,chair,wine glass</t>
  </si>
  <si>
    <t>Temperature,Cognizance</t>
  </si>
  <si>
    <t>bed,nightstand,sofa</t>
  </si>
  <si>
    <t>power</t>
  </si>
  <si>
    <t>closet,closet drawers,pile of clothes</t>
  </si>
  <si>
    <t>electric fan,ventilation fan,refrigerator,bathtub,water glass</t>
  </si>
  <si>
    <t>Hygiene, Nurturance</t>
  </si>
  <si>
    <t>tissue,napkin</t>
  </si>
  <si>
    <t>sink,hand sanitizer</t>
  </si>
  <si>
    <t>sink,bathroom</t>
  </si>
  <si>
    <t>electric fan,ventilation fan,stove,coffee maker</t>
  </si>
  <si>
    <t>bathroom,living room,bedroom</t>
  </si>
  <si>
    <t>closet,hanger,pile of clothes,floor shelf</t>
  </si>
  <si>
    <t>bathroom,living room,kitchen,bedroom</t>
  </si>
  <si>
    <t>bathroom counter,sink,rug,floor shelf,garbage</t>
  </si>
  <si>
    <t>bathroom,living room,bedroom,kitchen</t>
  </si>
  <si>
    <t>closet,hanger,pile of clothes,floor shelf,box</t>
  </si>
  <si>
    <t>table,kitchen counter,kitchen table,refrigerator,kitchen cabinet,box</t>
  </si>
  <si>
    <t>floor,chair,table</t>
  </si>
  <si>
    <t>bed,sofa,private room,chair,floor,rug</t>
  </si>
  <si>
    <t>faucet,sink,toilet</t>
  </si>
  <si>
    <t>bathtub,closet</t>
  </si>
  <si>
    <t>desk,table,chair,closet,closet drawers</t>
  </si>
  <si>
    <t>bedroom,living room,bathroom,kitchen</t>
  </si>
  <si>
    <t>kitchen counter,kitchen cabinet,refrigerator,table</t>
  </si>
  <si>
    <t>Laziness,Comfort</t>
  </si>
  <si>
    <t>closet,bookshelf,kitchen counter,table,desk</t>
  </si>
  <si>
    <t>Acquisition, Conservance, Order</t>
  </si>
  <si>
    <t>closet,bookshelf,cabinet,floor shelf,box</t>
  </si>
  <si>
    <t>Laziness,Exposition</t>
  </si>
  <si>
    <t>bed,sofa,TV,television</t>
  </si>
  <si>
    <t>faucet,sink,wine glass,water glass,refrigerator,mug,coffee maker,coffee pot</t>
  </si>
  <si>
    <t>bed,sofa,bathtub,private room</t>
  </si>
  <si>
    <t>closet,hanger,towel rack,pile of clothes,floor shelf,box</t>
  </si>
  <si>
    <t xml:space="preserve">computer,mobile phone </t>
  </si>
  <si>
    <t>closet,cabinet,box</t>
  </si>
  <si>
    <t>closet,closet drawers,box</t>
  </si>
  <si>
    <t>power,hanger socket</t>
  </si>
  <si>
    <t>closet,hanger,closet drawers,box,pile of clothes</t>
  </si>
  <si>
    <t>rug,sofa,floor,private room,bathtub</t>
  </si>
  <si>
    <t>Nurturance</t>
  </si>
  <si>
    <t>bathroomcabinet,bed,floor</t>
  </si>
  <si>
    <t>hand dryer,paper towel dispenser</t>
  </si>
  <si>
    <t>kitchen table,rug</t>
  </si>
  <si>
    <t>bathroom counter,sink,towel rack,cabinet,floor shelf</t>
  </si>
  <si>
    <t>bathroom,bedroom,kitchen</t>
  </si>
  <si>
    <t>bathroom counter,towel rack,cabinet,kitchen counter,kitchen table,rug</t>
  </si>
  <si>
    <t>Thirst,Construction</t>
  </si>
  <si>
    <t>toilet paper,garbage</t>
  </si>
  <si>
    <t>desk,table,bookshelf,computer</t>
  </si>
  <si>
    <t>table,desk,mirror</t>
  </si>
  <si>
    <t>desk,chair,table,computer,CPU screen,keyboard,mouse</t>
  </si>
  <si>
    <t>refrigerator,ventilation fan</t>
  </si>
  <si>
    <t>closet,hanger,floor shelf</t>
  </si>
  <si>
    <t>Order,Exposition,Achievement</t>
  </si>
  <si>
    <t>kitchen table,table,chair</t>
  </si>
  <si>
    <t>bed,nightstand,desk,table</t>
  </si>
  <si>
    <t>closet,box,folder,garbage,bookshelf</t>
  </si>
  <si>
    <t>Select the needs:  
Hygiene</t>
  </si>
  <si>
    <t>towel,paper towel,hand dryer</t>
  </si>
  <si>
    <t>Temperature,Injury avoidance</t>
  </si>
  <si>
    <t>bathtub</t>
  </si>
  <si>
    <t>User requirements</t>
  </si>
  <si>
    <t>Correct object</t>
  </si>
  <si>
    <t>LLM output things</t>
  </si>
  <si>
    <t>Room</t>
  </si>
  <si>
    <t>Fitness rate (object)</t>
  </si>
  <si>
    <t>Reproduction rate (object)</t>
  </si>
  <si>
    <t>number of tokens</t>
  </si>
  <si>
    <t>F value(object)</t>
  </si>
  <si>
    <t>Fitness rate of things</t>
  </si>
  <si>
    <t>Reproduction rate of things</t>
  </si>
  <si>
    <t>F value average of things</t>
  </si>
  <si>
    <t>Average number of tokens</t>
  </si>
  <si>
    <t>Standard deviation</t>
  </si>
  <si>
    <t>Correct needs</t>
  </si>
  <si>
    <t>LLM output needs</t>
  </si>
  <si>
    <t>Fit rate (needs)</t>
  </si>
  <si>
    <t>Reproduction rate (needs)</t>
  </si>
  <si>
    <t>F value (needs)</t>
  </si>
  <si>
    <t>Fitness rate of needs</t>
  </si>
  <si>
    <t>Reproduction rate of needs</t>
  </si>
  <si>
    <t>F value average of needs</t>
  </si>
  <si>
    <t>Temperature,Sensory needs</t>
  </si>
  <si>
    <t>Thirst,Hunger,Sensory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</si>
</sst>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.5"/>
      <color theme="1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76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3" borderId="1" xfId="0" applyFill="1" applyBorder="1"/>
    <xf numFmtId="176" fontId="0" fillId="3" borderId="1" xfId="0" applyNumberForma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zoomScale="70" zoomScaleNormal="70" workbookViewId="0">
      <selection activeCell="O8" sqref="O8"/>
    </sheetView>
  </sheetViews>
  <sheetFormatPr defaultRowHeight="18"/>
  <cols>
    <col min="1" max="1" width="86.08203125" customWidth="1"/>
    <col min="2" max="2" width="12.6640625" customWidth="1"/>
    <col min="3" max="3" width="11.4140625" customWidth="1"/>
    <col min="4" max="4" width="13.5" customWidth="1"/>
    <col min="5" max="5" width="38.1640625" customWidth="1"/>
    <col min="7" max="7" width="11.08203125" customWidth="1"/>
    <col min="8" max="8" width="10.9140625" customWidth="1"/>
    <col min="12" max="12" width="9.25" bestFit="1" customWidth="1"/>
    <col min="13" max="13" width="9.58203125" bestFit="1" customWidth="1"/>
    <col min="14" max="14" width="19.1640625" customWidth="1"/>
    <col min="15" max="15" width="17.4140625" customWidth="1"/>
    <col min="16" max="16" width="13.1640625" bestFit="1" customWidth="1"/>
  </cols>
  <sheetData>
    <row r="1" spans="1:16" s="5" customFormat="1">
      <c r="A1" s="5" t="s">
        <v>634</v>
      </c>
      <c r="B1" s="5" t="s">
        <v>647</v>
      </c>
      <c r="C1" s="5" t="s">
        <v>635</v>
      </c>
      <c r="D1" s="5" t="s">
        <v>648</v>
      </c>
      <c r="E1" s="5" t="s">
        <v>636</v>
      </c>
      <c r="F1" s="5" t="s">
        <v>637</v>
      </c>
      <c r="G1" s="5" t="s">
        <v>649</v>
      </c>
      <c r="H1" s="5" t="s">
        <v>650</v>
      </c>
      <c r="I1" s="5" t="s">
        <v>651</v>
      </c>
      <c r="J1" s="5" t="s">
        <v>638</v>
      </c>
      <c r="K1" s="5" t="s">
        <v>639</v>
      </c>
      <c r="L1" s="5" t="s">
        <v>640</v>
      </c>
      <c r="M1" s="5" t="s">
        <v>641</v>
      </c>
      <c r="N1" s="5" t="s">
        <v>642</v>
      </c>
      <c r="O1" s="5" t="s">
        <v>643</v>
      </c>
      <c r="P1" s="6" t="s">
        <v>644</v>
      </c>
    </row>
    <row r="2" spans="1:16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>
        <v>1</v>
      </c>
      <c r="H2">
        <v>0.5</v>
      </c>
      <c r="I2">
        <f t="shared" ref="I2:I33" si="0">IF(G2+H2=0,0,2*G2*H2/(G2+H2))</f>
        <v>0.66666666666666663</v>
      </c>
      <c r="J2">
        <v>1</v>
      </c>
      <c r="K2">
        <v>0.66700000000000004</v>
      </c>
      <c r="L2">
        <v>684</v>
      </c>
      <c r="M2">
        <f t="shared" ref="M2:M33" si="1">IF(J2+K2=0,0,ROUND(2*J2*K2/(J2+K2),3))</f>
        <v>0.8</v>
      </c>
      <c r="N2" s="2">
        <f>ROUND(AVERAGE(J2:J94),3)</f>
        <v>0.59</v>
      </c>
      <c r="O2" s="2">
        <f>ROUND(AVERAGE(K2:K94),3)</f>
        <v>0.6</v>
      </c>
      <c r="P2" s="2">
        <f>SUM(M2:M94)/93</f>
        <v>0.54769892473118287</v>
      </c>
    </row>
    <row r="3" spans="1:16">
      <c r="A3" t="s">
        <v>6</v>
      </c>
      <c r="B3" s="1" t="s">
        <v>7</v>
      </c>
      <c r="C3" t="s">
        <v>8</v>
      </c>
      <c r="D3" t="s">
        <v>9</v>
      </c>
      <c r="E3" t="s">
        <v>10</v>
      </c>
      <c r="F3" t="s">
        <v>11</v>
      </c>
      <c r="G3">
        <v>1</v>
      </c>
      <c r="H3">
        <v>0.5</v>
      </c>
      <c r="I3">
        <f t="shared" si="0"/>
        <v>0.66666666666666663</v>
      </c>
      <c r="J3">
        <v>0.66700000000000004</v>
      </c>
      <c r="K3">
        <v>0.4</v>
      </c>
      <c r="L3">
        <v>703</v>
      </c>
      <c r="M3">
        <f t="shared" si="1"/>
        <v>0.5</v>
      </c>
      <c r="P3" s="2"/>
    </row>
    <row r="4" spans="1:16">
      <c r="A4" t="s">
        <v>12</v>
      </c>
      <c r="B4" s="1" t="s">
        <v>13</v>
      </c>
      <c r="C4" t="s">
        <v>14</v>
      </c>
      <c r="D4" t="s">
        <v>15</v>
      </c>
      <c r="E4" t="s">
        <v>16</v>
      </c>
      <c r="F4" t="s">
        <v>17</v>
      </c>
      <c r="G4">
        <v>0.5</v>
      </c>
      <c r="H4">
        <v>1</v>
      </c>
      <c r="I4">
        <f t="shared" si="0"/>
        <v>0.66666666666666663</v>
      </c>
      <c r="J4">
        <v>1</v>
      </c>
      <c r="K4">
        <v>0.66700000000000004</v>
      </c>
      <c r="L4">
        <v>718</v>
      </c>
      <c r="M4">
        <f t="shared" si="1"/>
        <v>0.8</v>
      </c>
      <c r="N4" t="s">
        <v>652</v>
      </c>
      <c r="O4" t="s">
        <v>653</v>
      </c>
      <c r="P4" s="2" t="s">
        <v>654</v>
      </c>
    </row>
    <row r="5" spans="1:16">
      <c r="A5" t="s">
        <v>18</v>
      </c>
      <c r="B5" s="1" t="s">
        <v>19</v>
      </c>
      <c r="C5" t="s">
        <v>20</v>
      </c>
      <c r="D5" t="s">
        <v>21</v>
      </c>
      <c r="E5" t="s">
        <v>22</v>
      </c>
      <c r="F5" t="s">
        <v>23</v>
      </c>
      <c r="G5">
        <v>0</v>
      </c>
      <c r="H5">
        <v>0</v>
      </c>
      <c r="I5">
        <f t="shared" si="0"/>
        <v>0</v>
      </c>
      <c r="J5">
        <v>1</v>
      </c>
      <c r="K5">
        <v>0.5</v>
      </c>
      <c r="L5">
        <v>745</v>
      </c>
      <c r="M5">
        <f t="shared" si="1"/>
        <v>0.66700000000000004</v>
      </c>
      <c r="N5" s="2">
        <f>ROUND(AVERAGE(G2:G94),3)</f>
        <v>0.69299999999999995</v>
      </c>
      <c r="O5" s="2">
        <f>ROUND(AVERAGE(H2:H94),3)</f>
        <v>0.61499999999999999</v>
      </c>
      <c r="P5" s="2">
        <f>ROUND(AVERAGE(I2:I94),3)</f>
        <v>0.61</v>
      </c>
    </row>
    <row r="6" spans="1:16">
      <c r="A6" t="s">
        <v>24</v>
      </c>
      <c r="B6" s="1" t="s">
        <v>25</v>
      </c>
      <c r="C6" t="s">
        <v>26</v>
      </c>
      <c r="D6" t="s">
        <v>27</v>
      </c>
      <c r="E6" t="s">
        <v>28</v>
      </c>
      <c r="F6" t="s">
        <v>29</v>
      </c>
      <c r="G6">
        <v>0.5</v>
      </c>
      <c r="H6">
        <v>0.5</v>
      </c>
      <c r="I6">
        <f t="shared" si="0"/>
        <v>0.5</v>
      </c>
      <c r="J6">
        <v>0.5</v>
      </c>
      <c r="K6">
        <v>1</v>
      </c>
      <c r="L6">
        <v>781</v>
      </c>
      <c r="M6">
        <f t="shared" si="1"/>
        <v>0.66700000000000004</v>
      </c>
      <c r="O6" t="s">
        <v>645</v>
      </c>
    </row>
    <row r="7" spans="1:16">
      <c r="A7" t="s">
        <v>30</v>
      </c>
      <c r="B7" s="1" t="s">
        <v>31</v>
      </c>
      <c r="C7" t="s">
        <v>32</v>
      </c>
      <c r="D7" t="s">
        <v>33</v>
      </c>
      <c r="E7" t="s">
        <v>34</v>
      </c>
      <c r="F7" t="s">
        <v>35</v>
      </c>
      <c r="G7">
        <v>0</v>
      </c>
      <c r="H7">
        <v>0</v>
      </c>
      <c r="I7">
        <f t="shared" si="0"/>
        <v>0</v>
      </c>
      <c r="J7">
        <v>0</v>
      </c>
      <c r="K7">
        <v>0</v>
      </c>
      <c r="L7">
        <v>662</v>
      </c>
      <c r="M7">
        <f t="shared" si="1"/>
        <v>0</v>
      </c>
      <c r="O7" s="4">
        <f>AVERAGE(L2:L94)</f>
        <v>753.31182795698919</v>
      </c>
    </row>
    <row r="8" spans="1:16">
      <c r="A8" t="s">
        <v>36</v>
      </c>
      <c r="B8" s="1" t="s">
        <v>37</v>
      </c>
      <c r="C8" t="s">
        <v>38</v>
      </c>
      <c r="D8" t="s">
        <v>37</v>
      </c>
      <c r="E8" t="s">
        <v>39</v>
      </c>
      <c r="F8" t="s">
        <v>29</v>
      </c>
      <c r="G8">
        <v>1</v>
      </c>
      <c r="H8">
        <v>1</v>
      </c>
      <c r="I8">
        <f t="shared" si="0"/>
        <v>1</v>
      </c>
      <c r="J8">
        <v>0.33300000000000002</v>
      </c>
      <c r="K8">
        <v>0.5</v>
      </c>
      <c r="L8">
        <v>700</v>
      </c>
      <c r="M8">
        <f t="shared" si="1"/>
        <v>0.4</v>
      </c>
      <c r="O8" t="s">
        <v>646</v>
      </c>
    </row>
    <row r="9" spans="1:16">
      <c r="A9" t="s">
        <v>40</v>
      </c>
      <c r="B9" s="1" t="s">
        <v>41</v>
      </c>
      <c r="C9" t="s">
        <v>34</v>
      </c>
      <c r="D9" t="s">
        <v>42</v>
      </c>
      <c r="E9" t="s">
        <v>43</v>
      </c>
      <c r="F9" t="s">
        <v>44</v>
      </c>
      <c r="G9">
        <v>0.5</v>
      </c>
      <c r="H9">
        <v>0.33300000000000002</v>
      </c>
      <c r="I9">
        <f t="shared" si="0"/>
        <v>0.39975990396158467</v>
      </c>
      <c r="J9">
        <v>0.5</v>
      </c>
      <c r="K9">
        <v>1</v>
      </c>
      <c r="L9">
        <v>727</v>
      </c>
      <c r="M9">
        <f t="shared" si="1"/>
        <v>0.66700000000000004</v>
      </c>
      <c r="O9" s="2">
        <f>_xlfn.STDEV.P(L2:L94)</f>
        <v>58.517523980322387</v>
      </c>
    </row>
    <row r="10" spans="1:16">
      <c r="A10" t="s">
        <v>45</v>
      </c>
      <c r="B10" s="1" t="s">
        <v>46</v>
      </c>
      <c r="C10" t="s">
        <v>47</v>
      </c>
      <c r="D10" t="s">
        <v>48</v>
      </c>
      <c r="E10" t="s">
        <v>49</v>
      </c>
      <c r="F10" t="s">
        <v>50</v>
      </c>
      <c r="G10">
        <v>0.5</v>
      </c>
      <c r="H10">
        <v>0.5</v>
      </c>
      <c r="I10">
        <f t="shared" si="0"/>
        <v>0.5</v>
      </c>
      <c r="J10">
        <v>0.66700000000000004</v>
      </c>
      <c r="K10">
        <v>1</v>
      </c>
      <c r="L10">
        <v>801</v>
      </c>
      <c r="M10">
        <f t="shared" si="1"/>
        <v>0.8</v>
      </c>
    </row>
    <row r="11" spans="1:16">
      <c r="A11" t="s">
        <v>51</v>
      </c>
      <c r="B11" s="1" t="s">
        <v>52</v>
      </c>
      <c r="C11" t="s">
        <v>53</v>
      </c>
      <c r="D11" t="s">
        <v>54</v>
      </c>
      <c r="E11" t="s">
        <v>55</v>
      </c>
      <c r="F11" t="s">
        <v>29</v>
      </c>
      <c r="G11">
        <v>1</v>
      </c>
      <c r="H11">
        <v>0.5</v>
      </c>
      <c r="I11">
        <f t="shared" si="0"/>
        <v>0.66666666666666663</v>
      </c>
      <c r="J11">
        <v>1</v>
      </c>
      <c r="K11">
        <v>0.33300000000000002</v>
      </c>
      <c r="L11">
        <v>682</v>
      </c>
      <c r="M11">
        <f t="shared" si="1"/>
        <v>0.5</v>
      </c>
    </row>
    <row r="12" spans="1:16">
      <c r="A12" t="s">
        <v>56</v>
      </c>
      <c r="B12" s="1" t="s">
        <v>46</v>
      </c>
      <c r="C12" t="s">
        <v>47</v>
      </c>
      <c r="D12" t="s">
        <v>48</v>
      </c>
      <c r="E12" t="s">
        <v>57</v>
      </c>
      <c r="F12" t="s">
        <v>58</v>
      </c>
      <c r="G12">
        <v>0.5</v>
      </c>
      <c r="H12">
        <v>0.5</v>
      </c>
      <c r="I12">
        <f t="shared" si="0"/>
        <v>0.5</v>
      </c>
      <c r="J12">
        <v>0.25</v>
      </c>
      <c r="K12">
        <v>1</v>
      </c>
      <c r="L12">
        <v>816</v>
      </c>
      <c r="M12">
        <f t="shared" si="1"/>
        <v>0.4</v>
      </c>
    </row>
    <row r="13" spans="1:16">
      <c r="A13" t="s">
        <v>59</v>
      </c>
      <c r="B13" s="1" t="s">
        <v>19</v>
      </c>
      <c r="C13" t="s">
        <v>60</v>
      </c>
      <c r="D13" t="s">
        <v>61</v>
      </c>
      <c r="E13" t="s">
        <v>62</v>
      </c>
      <c r="F13" t="s">
        <v>58</v>
      </c>
      <c r="G13">
        <v>1</v>
      </c>
      <c r="H13">
        <v>0.5</v>
      </c>
      <c r="I13">
        <f t="shared" si="0"/>
        <v>0.66666666666666663</v>
      </c>
      <c r="J13">
        <v>0.5</v>
      </c>
      <c r="K13">
        <v>0.5</v>
      </c>
      <c r="L13">
        <v>740</v>
      </c>
      <c r="M13">
        <f t="shared" si="1"/>
        <v>0.5</v>
      </c>
    </row>
    <row r="14" spans="1:16">
      <c r="A14" t="s">
        <v>63</v>
      </c>
      <c r="B14" s="1" t="s">
        <v>61</v>
      </c>
      <c r="C14" t="s">
        <v>64</v>
      </c>
      <c r="D14" t="s">
        <v>48</v>
      </c>
      <c r="E14" t="s">
        <v>65</v>
      </c>
      <c r="F14" t="s">
        <v>58</v>
      </c>
      <c r="G14">
        <v>0.5</v>
      </c>
      <c r="H14">
        <v>1</v>
      </c>
      <c r="I14">
        <f t="shared" si="0"/>
        <v>0.66666666666666663</v>
      </c>
      <c r="J14">
        <v>0.27300000000000002</v>
      </c>
      <c r="K14">
        <v>0.6</v>
      </c>
      <c r="L14">
        <v>824</v>
      </c>
      <c r="M14">
        <f t="shared" si="1"/>
        <v>0.375</v>
      </c>
    </row>
    <row r="15" spans="1:16">
      <c r="A15" t="s">
        <v>66</v>
      </c>
      <c r="B15" s="1" t="s">
        <v>67</v>
      </c>
      <c r="C15" t="s">
        <v>8</v>
      </c>
      <c r="D15" t="s">
        <v>67</v>
      </c>
      <c r="E15" t="s">
        <v>68</v>
      </c>
      <c r="F15" t="s">
        <v>69</v>
      </c>
      <c r="G15">
        <v>1</v>
      </c>
      <c r="H15">
        <v>1</v>
      </c>
      <c r="I15">
        <f t="shared" si="0"/>
        <v>1</v>
      </c>
      <c r="J15">
        <v>0.75</v>
      </c>
      <c r="K15">
        <v>0.6</v>
      </c>
      <c r="L15">
        <v>763</v>
      </c>
      <c r="M15">
        <f t="shared" si="1"/>
        <v>0.66700000000000004</v>
      </c>
    </row>
    <row r="16" spans="1:16">
      <c r="A16" t="s">
        <v>70</v>
      </c>
      <c r="B16" s="1" t="s">
        <v>71</v>
      </c>
      <c r="C16" t="s">
        <v>72</v>
      </c>
      <c r="D16" t="s">
        <v>73</v>
      </c>
      <c r="E16" t="s">
        <v>74</v>
      </c>
      <c r="F16" t="s">
        <v>69</v>
      </c>
      <c r="G16">
        <v>0.33300000000000002</v>
      </c>
      <c r="H16">
        <v>1</v>
      </c>
      <c r="I16">
        <f t="shared" si="0"/>
        <v>0.4996249062265567</v>
      </c>
      <c r="J16">
        <v>0.4</v>
      </c>
      <c r="K16">
        <v>0.33300000000000002</v>
      </c>
      <c r="L16">
        <v>926</v>
      </c>
      <c r="M16">
        <f t="shared" si="1"/>
        <v>0.36299999999999999</v>
      </c>
    </row>
    <row r="17" spans="1:13">
      <c r="A17" t="s">
        <v>75</v>
      </c>
      <c r="B17" s="1" t="s">
        <v>19</v>
      </c>
      <c r="C17" t="s">
        <v>76</v>
      </c>
      <c r="D17" t="s">
        <v>77</v>
      </c>
      <c r="E17" t="s">
        <v>78</v>
      </c>
      <c r="F17" t="s">
        <v>69</v>
      </c>
      <c r="G17">
        <v>0.33300000000000002</v>
      </c>
      <c r="H17">
        <v>0.5</v>
      </c>
      <c r="I17">
        <f t="shared" si="0"/>
        <v>0.39975990396158467</v>
      </c>
      <c r="J17">
        <v>0.38500000000000001</v>
      </c>
      <c r="K17">
        <v>0.71399999999999997</v>
      </c>
      <c r="L17">
        <v>858</v>
      </c>
      <c r="M17">
        <f t="shared" si="1"/>
        <v>0.5</v>
      </c>
    </row>
    <row r="18" spans="1:13">
      <c r="A18" t="s">
        <v>79</v>
      </c>
      <c r="B18" s="1" t="s">
        <v>19</v>
      </c>
      <c r="C18" t="s">
        <v>80</v>
      </c>
      <c r="D18" t="s">
        <v>81</v>
      </c>
      <c r="E18" t="s">
        <v>82</v>
      </c>
      <c r="F18" t="s">
        <v>83</v>
      </c>
      <c r="G18">
        <v>0.5</v>
      </c>
      <c r="H18">
        <v>0.5</v>
      </c>
      <c r="I18">
        <f t="shared" si="0"/>
        <v>0.5</v>
      </c>
      <c r="J18">
        <v>0</v>
      </c>
      <c r="K18">
        <v>0</v>
      </c>
      <c r="L18">
        <v>801</v>
      </c>
      <c r="M18">
        <f t="shared" si="1"/>
        <v>0</v>
      </c>
    </row>
    <row r="19" spans="1:13">
      <c r="A19" t="s">
        <v>84</v>
      </c>
      <c r="B19" s="1" t="s">
        <v>85</v>
      </c>
      <c r="C19" t="s">
        <v>86</v>
      </c>
      <c r="D19" t="s">
        <v>87</v>
      </c>
      <c r="E19" t="s">
        <v>10</v>
      </c>
      <c r="F19" t="s">
        <v>11</v>
      </c>
      <c r="G19">
        <v>1</v>
      </c>
      <c r="H19">
        <v>0.66700000000000004</v>
      </c>
      <c r="I19">
        <f t="shared" si="0"/>
        <v>0.80023995200959808</v>
      </c>
      <c r="J19">
        <v>0.66700000000000004</v>
      </c>
      <c r="K19">
        <v>0.5</v>
      </c>
      <c r="L19">
        <v>739</v>
      </c>
      <c r="M19">
        <f t="shared" si="1"/>
        <v>0.57199999999999995</v>
      </c>
    </row>
    <row r="20" spans="1:13">
      <c r="A20" t="s">
        <v>88</v>
      </c>
      <c r="B20" s="1" t="s">
        <v>655</v>
      </c>
      <c r="C20" t="s">
        <v>38</v>
      </c>
      <c r="D20" t="s">
        <v>37</v>
      </c>
      <c r="E20" t="s">
        <v>89</v>
      </c>
      <c r="F20" t="s">
        <v>17</v>
      </c>
      <c r="G20">
        <v>1</v>
      </c>
      <c r="H20">
        <v>0.5</v>
      </c>
      <c r="I20">
        <f t="shared" si="0"/>
        <v>0.66666666666666663</v>
      </c>
      <c r="J20">
        <v>0.5</v>
      </c>
      <c r="K20">
        <v>0.5</v>
      </c>
      <c r="L20">
        <v>688</v>
      </c>
      <c r="M20">
        <f t="shared" si="1"/>
        <v>0.5</v>
      </c>
    </row>
    <row r="21" spans="1:13">
      <c r="A21" t="s">
        <v>90</v>
      </c>
      <c r="B21" s="1" t="s">
        <v>91</v>
      </c>
      <c r="C21" t="s">
        <v>92</v>
      </c>
      <c r="D21" t="s">
        <v>91</v>
      </c>
      <c r="E21" t="s">
        <v>93</v>
      </c>
      <c r="F21" t="s">
        <v>44</v>
      </c>
      <c r="G21">
        <v>1</v>
      </c>
      <c r="H21">
        <v>1</v>
      </c>
      <c r="I21">
        <f t="shared" si="0"/>
        <v>1</v>
      </c>
      <c r="J21">
        <v>1</v>
      </c>
      <c r="K21">
        <v>1</v>
      </c>
      <c r="L21">
        <v>695</v>
      </c>
      <c r="M21">
        <f t="shared" si="1"/>
        <v>1</v>
      </c>
    </row>
    <row r="22" spans="1:13">
      <c r="A22" t="s">
        <v>94</v>
      </c>
      <c r="B22" s="1" t="s">
        <v>95</v>
      </c>
      <c r="C22" t="s">
        <v>96</v>
      </c>
      <c r="D22" t="s">
        <v>3</v>
      </c>
      <c r="E22" t="s">
        <v>97</v>
      </c>
      <c r="F22" t="s">
        <v>35</v>
      </c>
      <c r="G22">
        <v>1</v>
      </c>
      <c r="H22">
        <v>0.33300000000000002</v>
      </c>
      <c r="I22">
        <f t="shared" si="0"/>
        <v>0.4996249062265567</v>
      </c>
      <c r="J22">
        <v>1</v>
      </c>
      <c r="K22">
        <v>0.25</v>
      </c>
      <c r="L22">
        <v>681</v>
      </c>
      <c r="M22">
        <f t="shared" si="1"/>
        <v>0.4</v>
      </c>
    </row>
    <row r="23" spans="1:13">
      <c r="A23" t="s">
        <v>98</v>
      </c>
      <c r="B23" s="1" t="s">
        <v>61</v>
      </c>
      <c r="C23" t="s">
        <v>99</v>
      </c>
      <c r="D23" t="s">
        <v>100</v>
      </c>
      <c r="E23" t="s">
        <v>101</v>
      </c>
      <c r="F23" t="s">
        <v>58</v>
      </c>
      <c r="G23">
        <v>0.5</v>
      </c>
      <c r="H23">
        <v>1</v>
      </c>
      <c r="I23">
        <f t="shared" si="0"/>
        <v>0.66666666666666663</v>
      </c>
      <c r="J23">
        <v>0.5</v>
      </c>
      <c r="K23">
        <v>0.5</v>
      </c>
      <c r="L23">
        <v>782</v>
      </c>
      <c r="M23">
        <f t="shared" si="1"/>
        <v>0.5</v>
      </c>
    </row>
    <row r="24" spans="1:13">
      <c r="A24" t="s">
        <v>102</v>
      </c>
      <c r="B24" s="1" t="s">
        <v>19</v>
      </c>
      <c r="C24" t="s">
        <v>103</v>
      </c>
      <c r="D24" t="s">
        <v>48</v>
      </c>
      <c r="E24" t="s">
        <v>104</v>
      </c>
      <c r="F24" t="s">
        <v>58</v>
      </c>
      <c r="G24">
        <v>0.5</v>
      </c>
      <c r="H24">
        <v>0.5</v>
      </c>
      <c r="I24">
        <f t="shared" si="0"/>
        <v>0.5</v>
      </c>
      <c r="J24">
        <v>0.125</v>
      </c>
      <c r="K24">
        <v>0.25</v>
      </c>
      <c r="L24">
        <v>819</v>
      </c>
      <c r="M24">
        <f t="shared" si="1"/>
        <v>0.16700000000000001</v>
      </c>
    </row>
    <row r="25" spans="1:13">
      <c r="A25" t="s">
        <v>105</v>
      </c>
      <c r="B25" s="1" t="s">
        <v>106</v>
      </c>
      <c r="C25" t="s">
        <v>107</v>
      </c>
      <c r="D25" t="s">
        <v>108</v>
      </c>
      <c r="E25" t="s">
        <v>109</v>
      </c>
      <c r="F25" t="s">
        <v>58</v>
      </c>
      <c r="G25">
        <v>1</v>
      </c>
      <c r="H25">
        <v>0.33300000000000002</v>
      </c>
      <c r="I25">
        <f t="shared" si="0"/>
        <v>0.4996249062265567</v>
      </c>
      <c r="J25">
        <v>0.33300000000000002</v>
      </c>
      <c r="K25">
        <v>0.16700000000000001</v>
      </c>
      <c r="L25">
        <v>717</v>
      </c>
      <c r="M25">
        <f t="shared" si="1"/>
        <v>0.222</v>
      </c>
    </row>
    <row r="26" spans="1:13">
      <c r="A26" t="s">
        <v>110</v>
      </c>
      <c r="B26" s="1" t="s">
        <v>19</v>
      </c>
      <c r="C26" t="s">
        <v>47</v>
      </c>
      <c r="D26" t="s">
        <v>48</v>
      </c>
      <c r="E26" t="s">
        <v>111</v>
      </c>
      <c r="F26" t="s">
        <v>58</v>
      </c>
      <c r="G26">
        <v>0.5</v>
      </c>
      <c r="H26">
        <v>0.5</v>
      </c>
      <c r="I26">
        <f t="shared" si="0"/>
        <v>0.5</v>
      </c>
      <c r="J26">
        <v>0.4</v>
      </c>
      <c r="K26">
        <v>1</v>
      </c>
      <c r="L26">
        <v>812</v>
      </c>
      <c r="M26">
        <f t="shared" si="1"/>
        <v>0.57099999999999995</v>
      </c>
    </row>
    <row r="27" spans="1:13">
      <c r="A27" t="s">
        <v>112</v>
      </c>
      <c r="B27" s="1" t="s">
        <v>113</v>
      </c>
      <c r="C27" t="s">
        <v>114</v>
      </c>
      <c r="D27" t="s">
        <v>115</v>
      </c>
      <c r="E27" t="s">
        <v>116</v>
      </c>
      <c r="F27" t="s">
        <v>11</v>
      </c>
      <c r="G27">
        <v>0.5</v>
      </c>
      <c r="H27">
        <v>1</v>
      </c>
      <c r="I27">
        <f t="shared" si="0"/>
        <v>0.66666666666666663</v>
      </c>
      <c r="J27">
        <v>0.6</v>
      </c>
      <c r="K27">
        <v>0.75</v>
      </c>
      <c r="L27">
        <v>777</v>
      </c>
      <c r="M27">
        <f t="shared" si="1"/>
        <v>0.66700000000000004</v>
      </c>
    </row>
    <row r="28" spans="1:13">
      <c r="A28" t="s">
        <v>117</v>
      </c>
      <c r="B28" s="1" t="s">
        <v>61</v>
      </c>
      <c r="C28" t="s">
        <v>118</v>
      </c>
      <c r="D28" t="s">
        <v>48</v>
      </c>
      <c r="E28" t="s">
        <v>119</v>
      </c>
      <c r="F28" t="s">
        <v>58</v>
      </c>
      <c r="G28">
        <v>0.5</v>
      </c>
      <c r="H28">
        <v>1</v>
      </c>
      <c r="I28">
        <f t="shared" si="0"/>
        <v>0.66666666666666663</v>
      </c>
      <c r="J28">
        <v>0</v>
      </c>
      <c r="K28">
        <v>0</v>
      </c>
      <c r="L28">
        <v>811</v>
      </c>
      <c r="M28">
        <f t="shared" si="1"/>
        <v>0</v>
      </c>
    </row>
    <row r="29" spans="1:13">
      <c r="A29" t="s">
        <v>120</v>
      </c>
      <c r="B29" s="1" t="s">
        <v>61</v>
      </c>
      <c r="C29" t="s">
        <v>121</v>
      </c>
      <c r="D29" t="s">
        <v>19</v>
      </c>
      <c r="E29" t="s">
        <v>122</v>
      </c>
      <c r="F29" t="s">
        <v>58</v>
      </c>
      <c r="G29">
        <v>0.5</v>
      </c>
      <c r="H29">
        <v>1</v>
      </c>
      <c r="I29">
        <f t="shared" si="0"/>
        <v>0.66666666666666663</v>
      </c>
      <c r="J29">
        <v>0.14299999999999999</v>
      </c>
      <c r="K29">
        <v>0.33300000000000002</v>
      </c>
      <c r="L29">
        <v>859</v>
      </c>
      <c r="M29">
        <f t="shared" si="1"/>
        <v>0.2</v>
      </c>
    </row>
    <row r="30" spans="1:13">
      <c r="A30" t="s">
        <v>123</v>
      </c>
      <c r="B30" s="1" t="s">
        <v>124</v>
      </c>
      <c r="C30" t="s">
        <v>49</v>
      </c>
      <c r="D30" t="s">
        <v>48</v>
      </c>
      <c r="E30" t="s">
        <v>111</v>
      </c>
      <c r="F30" t="s">
        <v>58</v>
      </c>
      <c r="G30">
        <v>1</v>
      </c>
      <c r="H30">
        <v>0.66700000000000004</v>
      </c>
      <c r="I30">
        <f t="shared" si="0"/>
        <v>0.80023995200959808</v>
      </c>
      <c r="J30">
        <v>0.6</v>
      </c>
      <c r="K30">
        <v>1</v>
      </c>
      <c r="L30">
        <v>804</v>
      </c>
      <c r="M30">
        <f t="shared" si="1"/>
        <v>0.75</v>
      </c>
    </row>
    <row r="31" spans="1:13">
      <c r="A31" t="s">
        <v>125</v>
      </c>
      <c r="B31" s="1" t="s">
        <v>124</v>
      </c>
      <c r="C31" t="s">
        <v>126</v>
      </c>
      <c r="D31" t="s">
        <v>127</v>
      </c>
      <c r="E31" t="s">
        <v>128</v>
      </c>
      <c r="F31" t="s">
        <v>58</v>
      </c>
      <c r="G31">
        <v>1</v>
      </c>
      <c r="H31">
        <v>0.66700000000000004</v>
      </c>
      <c r="I31">
        <f t="shared" si="0"/>
        <v>0.80023995200959808</v>
      </c>
      <c r="J31">
        <v>0</v>
      </c>
      <c r="K31">
        <v>0</v>
      </c>
      <c r="L31">
        <v>805</v>
      </c>
      <c r="M31">
        <f t="shared" si="1"/>
        <v>0</v>
      </c>
    </row>
    <row r="32" spans="1:13">
      <c r="A32" t="s">
        <v>129</v>
      </c>
      <c r="B32" s="1" t="s">
        <v>130</v>
      </c>
      <c r="C32" t="s">
        <v>131</v>
      </c>
      <c r="D32" t="s">
        <v>91</v>
      </c>
      <c r="E32" t="s">
        <v>132</v>
      </c>
      <c r="F32" t="s">
        <v>29</v>
      </c>
      <c r="G32">
        <v>1</v>
      </c>
      <c r="H32">
        <v>0.33300000000000002</v>
      </c>
      <c r="I32">
        <f t="shared" si="0"/>
        <v>0.4996249062265567</v>
      </c>
      <c r="J32">
        <v>0</v>
      </c>
      <c r="K32">
        <v>0</v>
      </c>
      <c r="L32">
        <v>693</v>
      </c>
      <c r="M32">
        <f t="shared" si="1"/>
        <v>0</v>
      </c>
    </row>
    <row r="33" spans="1:13">
      <c r="A33" s="3" t="s">
        <v>133</v>
      </c>
      <c r="B33" s="1" t="s">
        <v>115</v>
      </c>
      <c r="C33" t="s">
        <v>134</v>
      </c>
      <c r="D33" t="s">
        <v>135</v>
      </c>
      <c r="E33" t="s">
        <v>136</v>
      </c>
      <c r="F33" t="s">
        <v>69</v>
      </c>
      <c r="G33">
        <v>0.5</v>
      </c>
      <c r="H33">
        <v>0.5</v>
      </c>
      <c r="I33">
        <f t="shared" si="0"/>
        <v>0.5</v>
      </c>
      <c r="J33">
        <v>0.75</v>
      </c>
      <c r="K33">
        <v>0.6</v>
      </c>
      <c r="L33">
        <v>736</v>
      </c>
      <c r="M33">
        <f t="shared" si="1"/>
        <v>0.66700000000000004</v>
      </c>
    </row>
    <row r="34" spans="1:13">
      <c r="A34" t="s">
        <v>137</v>
      </c>
      <c r="B34" s="1" t="s">
        <v>91</v>
      </c>
      <c r="C34" t="s">
        <v>138</v>
      </c>
      <c r="D34" t="s">
        <v>91</v>
      </c>
      <c r="E34" t="s">
        <v>139</v>
      </c>
      <c r="F34" t="s">
        <v>44</v>
      </c>
      <c r="G34">
        <v>1</v>
      </c>
      <c r="H34">
        <v>1</v>
      </c>
      <c r="I34">
        <f t="shared" ref="I34:I65" si="2">IF(G34+H34=0,0,2*G34*H34/(G34+H34))</f>
        <v>1</v>
      </c>
      <c r="J34">
        <v>0.375</v>
      </c>
      <c r="K34">
        <v>0.6</v>
      </c>
      <c r="L34">
        <v>704</v>
      </c>
      <c r="M34">
        <f t="shared" ref="M34:M65" si="3">IF(J34+K34=0,0,ROUND(2*J34*K34/(J34+K34),3))</f>
        <v>0.46200000000000002</v>
      </c>
    </row>
    <row r="35" spans="1:13">
      <c r="A35" t="s">
        <v>140</v>
      </c>
      <c r="B35" s="1" t="s">
        <v>7</v>
      </c>
      <c r="C35" t="s">
        <v>141</v>
      </c>
      <c r="D35" t="s">
        <v>115</v>
      </c>
      <c r="E35" t="s">
        <v>142</v>
      </c>
      <c r="F35" t="s">
        <v>58</v>
      </c>
      <c r="G35">
        <v>0.5</v>
      </c>
      <c r="H35">
        <v>0.5</v>
      </c>
      <c r="I35">
        <f t="shared" si="2"/>
        <v>0.5</v>
      </c>
      <c r="J35">
        <v>0.85699999999999998</v>
      </c>
      <c r="K35">
        <v>1</v>
      </c>
      <c r="L35">
        <v>784</v>
      </c>
      <c r="M35">
        <f t="shared" si="3"/>
        <v>0.92300000000000004</v>
      </c>
    </row>
    <row r="36" spans="1:13">
      <c r="A36" t="s">
        <v>143</v>
      </c>
      <c r="B36" s="1" t="s">
        <v>3</v>
      </c>
      <c r="C36" t="s">
        <v>97</v>
      </c>
      <c r="D36" t="s">
        <v>3</v>
      </c>
      <c r="E36" t="s">
        <v>97</v>
      </c>
      <c r="F36" t="s">
        <v>35</v>
      </c>
      <c r="G36">
        <v>1</v>
      </c>
      <c r="H36">
        <v>1</v>
      </c>
      <c r="I36">
        <f t="shared" si="2"/>
        <v>1</v>
      </c>
      <c r="J36">
        <v>1</v>
      </c>
      <c r="K36">
        <v>1</v>
      </c>
      <c r="L36">
        <v>667</v>
      </c>
      <c r="M36">
        <f t="shared" si="3"/>
        <v>1</v>
      </c>
    </row>
    <row r="37" spans="1:13">
      <c r="A37" t="s">
        <v>144</v>
      </c>
      <c r="B37" s="1" t="s">
        <v>145</v>
      </c>
      <c r="C37" t="s">
        <v>146</v>
      </c>
      <c r="D37" t="s">
        <v>147</v>
      </c>
      <c r="E37" t="s">
        <v>148</v>
      </c>
      <c r="F37" t="s">
        <v>23</v>
      </c>
      <c r="G37">
        <v>0.5</v>
      </c>
      <c r="H37">
        <v>0.5</v>
      </c>
      <c r="I37">
        <f t="shared" si="2"/>
        <v>0.5</v>
      </c>
      <c r="J37">
        <v>1</v>
      </c>
      <c r="K37">
        <v>0.5</v>
      </c>
      <c r="L37">
        <v>768</v>
      </c>
      <c r="M37">
        <f t="shared" si="3"/>
        <v>0.66700000000000004</v>
      </c>
    </row>
    <row r="38" spans="1:13">
      <c r="A38" t="s">
        <v>149</v>
      </c>
      <c r="B38" s="1" t="s">
        <v>61</v>
      </c>
      <c r="C38" t="s">
        <v>150</v>
      </c>
      <c r="D38" t="s">
        <v>19</v>
      </c>
      <c r="E38" t="s">
        <v>151</v>
      </c>
      <c r="F38" t="s">
        <v>58</v>
      </c>
      <c r="G38">
        <v>0.5</v>
      </c>
      <c r="H38">
        <v>1</v>
      </c>
      <c r="I38">
        <f t="shared" si="2"/>
        <v>0.66666666666666663</v>
      </c>
      <c r="J38">
        <v>0.375</v>
      </c>
      <c r="K38">
        <v>1</v>
      </c>
      <c r="L38">
        <v>853</v>
      </c>
      <c r="M38">
        <f t="shared" si="3"/>
        <v>0.54500000000000004</v>
      </c>
    </row>
    <row r="39" spans="1:13">
      <c r="A39" t="s">
        <v>152</v>
      </c>
      <c r="B39" s="1" t="s">
        <v>153</v>
      </c>
      <c r="C39" t="s">
        <v>154</v>
      </c>
      <c r="D39" t="s">
        <v>54</v>
      </c>
      <c r="E39" t="s">
        <v>155</v>
      </c>
      <c r="F39" t="s">
        <v>29</v>
      </c>
      <c r="G39">
        <v>1</v>
      </c>
      <c r="H39">
        <v>0.5</v>
      </c>
      <c r="I39">
        <f t="shared" si="2"/>
        <v>0.66666666666666663</v>
      </c>
      <c r="J39">
        <v>0.5</v>
      </c>
      <c r="K39">
        <v>0.66700000000000004</v>
      </c>
      <c r="L39">
        <v>686</v>
      </c>
      <c r="M39">
        <f t="shared" si="3"/>
        <v>0.57199999999999995</v>
      </c>
    </row>
    <row r="40" spans="1:13">
      <c r="A40" t="s">
        <v>156</v>
      </c>
      <c r="B40" s="1" t="s">
        <v>157</v>
      </c>
      <c r="C40" t="s">
        <v>158</v>
      </c>
      <c r="D40" t="s">
        <v>159</v>
      </c>
      <c r="E40" t="s">
        <v>160</v>
      </c>
      <c r="F40" t="s">
        <v>11</v>
      </c>
      <c r="G40">
        <v>0.25</v>
      </c>
      <c r="H40">
        <v>1</v>
      </c>
      <c r="I40">
        <f t="shared" si="2"/>
        <v>0.4</v>
      </c>
      <c r="J40">
        <v>0.6</v>
      </c>
      <c r="K40">
        <v>0.75</v>
      </c>
      <c r="L40">
        <v>791</v>
      </c>
      <c r="M40">
        <f t="shared" si="3"/>
        <v>0.66700000000000004</v>
      </c>
    </row>
    <row r="41" spans="1:13">
      <c r="A41" t="s">
        <v>161</v>
      </c>
      <c r="B41" s="1" t="s">
        <v>7</v>
      </c>
      <c r="C41" t="s">
        <v>162</v>
      </c>
      <c r="D41" t="s">
        <v>9</v>
      </c>
      <c r="E41" t="s">
        <v>163</v>
      </c>
      <c r="F41" t="s">
        <v>11</v>
      </c>
      <c r="G41">
        <v>1</v>
      </c>
      <c r="H41">
        <v>0.5</v>
      </c>
      <c r="I41">
        <f t="shared" si="2"/>
        <v>0.66666666666666663</v>
      </c>
      <c r="J41">
        <v>1</v>
      </c>
      <c r="K41">
        <v>0.75</v>
      </c>
      <c r="L41">
        <v>703</v>
      </c>
      <c r="M41">
        <f t="shared" si="3"/>
        <v>0.85699999999999998</v>
      </c>
    </row>
    <row r="42" spans="1:13">
      <c r="A42" t="s">
        <v>164</v>
      </c>
      <c r="B42" s="1" t="s">
        <v>165</v>
      </c>
      <c r="C42" t="s">
        <v>166</v>
      </c>
      <c r="D42" t="s">
        <v>167</v>
      </c>
      <c r="E42" t="s">
        <v>168</v>
      </c>
      <c r="F42" t="s">
        <v>23</v>
      </c>
      <c r="G42">
        <v>1</v>
      </c>
      <c r="H42">
        <v>0.66700000000000004</v>
      </c>
      <c r="I42">
        <f t="shared" si="2"/>
        <v>0.80023995200959808</v>
      </c>
      <c r="J42">
        <v>0.66700000000000004</v>
      </c>
      <c r="K42">
        <v>0.4</v>
      </c>
      <c r="L42">
        <v>774</v>
      </c>
      <c r="M42">
        <f t="shared" si="3"/>
        <v>0.5</v>
      </c>
    </row>
    <row r="43" spans="1:13">
      <c r="A43" t="s">
        <v>169</v>
      </c>
      <c r="B43" s="1" t="s">
        <v>48</v>
      </c>
      <c r="C43" t="s">
        <v>170</v>
      </c>
      <c r="D43" t="s">
        <v>171</v>
      </c>
      <c r="E43" t="s">
        <v>172</v>
      </c>
      <c r="F43" t="s">
        <v>50</v>
      </c>
      <c r="G43">
        <v>0.5</v>
      </c>
      <c r="H43">
        <v>0.5</v>
      </c>
      <c r="I43">
        <f t="shared" si="2"/>
        <v>0.5</v>
      </c>
      <c r="J43">
        <v>1</v>
      </c>
      <c r="K43">
        <v>0.4</v>
      </c>
      <c r="L43">
        <v>807</v>
      </c>
      <c r="M43">
        <f t="shared" si="3"/>
        <v>0.57099999999999995</v>
      </c>
    </row>
    <row r="44" spans="1:13">
      <c r="A44" t="s">
        <v>173</v>
      </c>
      <c r="B44" s="1" t="s">
        <v>19</v>
      </c>
      <c r="C44" t="s">
        <v>174</v>
      </c>
      <c r="D44" t="s">
        <v>61</v>
      </c>
      <c r="E44" t="s">
        <v>175</v>
      </c>
      <c r="F44" t="s">
        <v>176</v>
      </c>
      <c r="G44">
        <v>1</v>
      </c>
      <c r="H44">
        <v>0.5</v>
      </c>
      <c r="I44">
        <f t="shared" si="2"/>
        <v>0.66666666666666663</v>
      </c>
      <c r="J44">
        <v>0.2</v>
      </c>
      <c r="K44">
        <v>0.25</v>
      </c>
      <c r="L44">
        <v>749</v>
      </c>
      <c r="M44">
        <f t="shared" si="3"/>
        <v>0.222</v>
      </c>
    </row>
    <row r="45" spans="1:13">
      <c r="A45" t="s">
        <v>177</v>
      </c>
      <c r="B45" s="1" t="s">
        <v>178</v>
      </c>
      <c r="C45" t="s">
        <v>92</v>
      </c>
      <c r="D45" t="s">
        <v>91</v>
      </c>
      <c r="E45" t="s">
        <v>179</v>
      </c>
      <c r="F45" t="s">
        <v>17</v>
      </c>
      <c r="G45">
        <v>1</v>
      </c>
      <c r="H45">
        <v>0.5</v>
      </c>
      <c r="I45">
        <f t="shared" si="2"/>
        <v>0.66666666666666663</v>
      </c>
      <c r="J45">
        <v>1</v>
      </c>
      <c r="K45">
        <v>0.6</v>
      </c>
      <c r="L45">
        <v>688</v>
      </c>
      <c r="M45">
        <f t="shared" si="3"/>
        <v>0.75</v>
      </c>
    </row>
    <row r="46" spans="1:13">
      <c r="A46" t="s">
        <v>180</v>
      </c>
      <c r="B46" s="1" t="s">
        <v>61</v>
      </c>
      <c r="C46" t="s">
        <v>49</v>
      </c>
      <c r="D46" t="s">
        <v>48</v>
      </c>
      <c r="E46" t="s">
        <v>181</v>
      </c>
      <c r="F46" t="s">
        <v>58</v>
      </c>
      <c r="G46">
        <v>0.5</v>
      </c>
      <c r="H46">
        <v>1</v>
      </c>
      <c r="I46">
        <f t="shared" si="2"/>
        <v>0.66666666666666663</v>
      </c>
      <c r="J46">
        <v>0.4</v>
      </c>
      <c r="K46">
        <v>0.66700000000000004</v>
      </c>
      <c r="L46">
        <v>811</v>
      </c>
      <c r="M46">
        <f t="shared" si="3"/>
        <v>0.5</v>
      </c>
    </row>
    <row r="47" spans="1:13">
      <c r="A47" t="s">
        <v>182</v>
      </c>
      <c r="B47" s="1" t="s">
        <v>183</v>
      </c>
      <c r="C47" t="s">
        <v>184</v>
      </c>
      <c r="D47" t="s">
        <v>21</v>
      </c>
      <c r="E47" t="s">
        <v>185</v>
      </c>
      <c r="F47" t="s">
        <v>69</v>
      </c>
      <c r="G47">
        <v>0.5</v>
      </c>
      <c r="H47">
        <v>0.5</v>
      </c>
      <c r="I47">
        <f t="shared" si="2"/>
        <v>0.5</v>
      </c>
      <c r="J47">
        <v>1</v>
      </c>
      <c r="K47">
        <v>0.75</v>
      </c>
      <c r="L47">
        <v>738</v>
      </c>
      <c r="M47">
        <f t="shared" si="3"/>
        <v>0.85699999999999998</v>
      </c>
    </row>
    <row r="48" spans="1:13">
      <c r="A48" t="s">
        <v>186</v>
      </c>
      <c r="B48" s="1" t="s">
        <v>61</v>
      </c>
      <c r="C48" t="s">
        <v>187</v>
      </c>
      <c r="D48" t="s">
        <v>25</v>
      </c>
      <c r="E48" t="s">
        <v>55</v>
      </c>
      <c r="F48" t="s">
        <v>29</v>
      </c>
      <c r="G48">
        <v>0</v>
      </c>
      <c r="H48">
        <v>0</v>
      </c>
      <c r="I48">
        <f t="shared" si="2"/>
        <v>0</v>
      </c>
      <c r="J48">
        <v>0</v>
      </c>
      <c r="K48">
        <v>0</v>
      </c>
      <c r="L48">
        <v>695</v>
      </c>
      <c r="M48">
        <f t="shared" si="3"/>
        <v>0</v>
      </c>
    </row>
    <row r="49" spans="1:13">
      <c r="A49" t="s">
        <v>188</v>
      </c>
      <c r="B49" s="1" t="s">
        <v>48</v>
      </c>
      <c r="C49" t="s">
        <v>189</v>
      </c>
      <c r="D49" t="s">
        <v>190</v>
      </c>
      <c r="E49" t="s">
        <v>191</v>
      </c>
      <c r="F49" t="s">
        <v>58</v>
      </c>
      <c r="G49">
        <v>0.66700000000000004</v>
      </c>
      <c r="H49">
        <v>1</v>
      </c>
      <c r="I49">
        <f t="shared" si="2"/>
        <v>0.80023995200959808</v>
      </c>
      <c r="J49">
        <v>0.6</v>
      </c>
      <c r="K49">
        <v>0.75</v>
      </c>
      <c r="L49">
        <v>904</v>
      </c>
      <c r="M49">
        <f t="shared" si="3"/>
        <v>0.66700000000000004</v>
      </c>
    </row>
    <row r="50" spans="1:13">
      <c r="A50" t="s">
        <v>192</v>
      </c>
      <c r="B50" s="1" t="s">
        <v>157</v>
      </c>
      <c r="C50" t="s">
        <v>193</v>
      </c>
      <c r="D50" t="s">
        <v>194</v>
      </c>
      <c r="E50" t="s">
        <v>195</v>
      </c>
      <c r="F50" t="s">
        <v>58</v>
      </c>
      <c r="G50">
        <v>0.5</v>
      </c>
      <c r="H50">
        <v>1</v>
      </c>
      <c r="I50">
        <f t="shared" si="2"/>
        <v>0.66666666666666663</v>
      </c>
      <c r="J50">
        <v>0.75</v>
      </c>
      <c r="K50">
        <v>0.75</v>
      </c>
      <c r="L50">
        <v>740</v>
      </c>
      <c r="M50">
        <f t="shared" si="3"/>
        <v>0.75</v>
      </c>
    </row>
    <row r="51" spans="1:13">
      <c r="A51" t="s">
        <v>196</v>
      </c>
      <c r="B51" s="1" t="s">
        <v>7</v>
      </c>
      <c r="C51" t="s">
        <v>162</v>
      </c>
      <c r="D51" t="s">
        <v>9</v>
      </c>
      <c r="E51" t="s">
        <v>197</v>
      </c>
      <c r="F51" t="s">
        <v>11</v>
      </c>
      <c r="G51">
        <v>1</v>
      </c>
      <c r="H51">
        <v>0.5</v>
      </c>
      <c r="I51">
        <f t="shared" si="2"/>
        <v>0.66666666666666663</v>
      </c>
      <c r="J51">
        <v>1</v>
      </c>
      <c r="K51">
        <v>0.5</v>
      </c>
      <c r="L51">
        <v>703</v>
      </c>
      <c r="M51">
        <f t="shared" si="3"/>
        <v>0.66700000000000004</v>
      </c>
    </row>
    <row r="52" spans="1:13">
      <c r="A52" t="s">
        <v>198</v>
      </c>
      <c r="B52" s="1" t="s">
        <v>199</v>
      </c>
      <c r="C52" t="s">
        <v>200</v>
      </c>
      <c r="D52" t="s">
        <v>201</v>
      </c>
      <c r="E52" t="s">
        <v>202</v>
      </c>
      <c r="F52" t="s">
        <v>58</v>
      </c>
      <c r="G52">
        <v>0.5</v>
      </c>
      <c r="H52">
        <v>0.33300000000000002</v>
      </c>
      <c r="I52">
        <f t="shared" si="2"/>
        <v>0.39975990396158467</v>
      </c>
      <c r="J52">
        <v>1</v>
      </c>
      <c r="K52">
        <v>0.5</v>
      </c>
      <c r="L52">
        <v>691</v>
      </c>
      <c r="M52">
        <f t="shared" si="3"/>
        <v>0.66700000000000004</v>
      </c>
    </row>
    <row r="53" spans="1:13">
      <c r="A53" t="s">
        <v>203</v>
      </c>
      <c r="B53" s="1" t="s">
        <v>25</v>
      </c>
      <c r="C53" t="s">
        <v>204</v>
      </c>
      <c r="D53" t="s">
        <v>205</v>
      </c>
      <c r="E53" t="s">
        <v>206</v>
      </c>
      <c r="F53" t="s">
        <v>29</v>
      </c>
      <c r="G53">
        <v>0.66700000000000004</v>
      </c>
      <c r="H53">
        <v>1</v>
      </c>
      <c r="I53">
        <f t="shared" si="2"/>
        <v>0.80023995200959808</v>
      </c>
      <c r="J53">
        <v>0.75</v>
      </c>
      <c r="K53">
        <v>0.75</v>
      </c>
      <c r="L53">
        <v>754</v>
      </c>
      <c r="M53">
        <f t="shared" si="3"/>
        <v>0.75</v>
      </c>
    </row>
    <row r="54" spans="1:13">
      <c r="A54" t="s">
        <v>207</v>
      </c>
      <c r="B54" s="1" t="s">
        <v>1</v>
      </c>
      <c r="C54" t="s">
        <v>208</v>
      </c>
      <c r="D54" t="s">
        <v>3</v>
      </c>
      <c r="E54" t="s">
        <v>4</v>
      </c>
      <c r="F54" t="s">
        <v>5</v>
      </c>
      <c r="G54">
        <v>1</v>
      </c>
      <c r="H54">
        <v>0.5</v>
      </c>
      <c r="I54">
        <f t="shared" si="2"/>
        <v>0.66666666666666663</v>
      </c>
      <c r="J54">
        <v>0</v>
      </c>
      <c r="K54">
        <v>0</v>
      </c>
      <c r="L54">
        <v>670</v>
      </c>
      <c r="M54">
        <f t="shared" si="3"/>
        <v>0</v>
      </c>
    </row>
    <row r="55" spans="1:13">
      <c r="A55" t="s">
        <v>209</v>
      </c>
      <c r="B55" s="1" t="s">
        <v>113</v>
      </c>
      <c r="C55" t="s">
        <v>210</v>
      </c>
      <c r="D55" t="s">
        <v>113</v>
      </c>
      <c r="E55" t="s">
        <v>211</v>
      </c>
      <c r="F55" t="s">
        <v>11</v>
      </c>
      <c r="G55">
        <v>1</v>
      </c>
      <c r="H55">
        <v>1</v>
      </c>
      <c r="I55">
        <f t="shared" si="2"/>
        <v>1</v>
      </c>
      <c r="J55">
        <v>1</v>
      </c>
      <c r="K55">
        <v>0.66700000000000004</v>
      </c>
      <c r="L55">
        <v>711</v>
      </c>
      <c r="M55">
        <f t="shared" si="3"/>
        <v>0.8</v>
      </c>
    </row>
    <row r="56" spans="1:13">
      <c r="A56" t="s">
        <v>212</v>
      </c>
      <c r="B56" s="1" t="s">
        <v>67</v>
      </c>
      <c r="C56" t="s">
        <v>213</v>
      </c>
      <c r="D56" t="s">
        <v>113</v>
      </c>
      <c r="E56" t="s">
        <v>214</v>
      </c>
      <c r="F56" t="s">
        <v>69</v>
      </c>
      <c r="G56">
        <v>1</v>
      </c>
      <c r="H56">
        <v>0.5</v>
      </c>
      <c r="I56">
        <f t="shared" si="2"/>
        <v>0.66666666666666663</v>
      </c>
      <c r="J56">
        <v>0.66700000000000004</v>
      </c>
      <c r="K56">
        <v>1</v>
      </c>
      <c r="L56">
        <v>719</v>
      </c>
      <c r="M56">
        <f t="shared" si="3"/>
        <v>0.8</v>
      </c>
    </row>
    <row r="57" spans="1:13">
      <c r="A57" t="s">
        <v>215</v>
      </c>
      <c r="B57" s="1" t="s">
        <v>216</v>
      </c>
      <c r="C57" t="s">
        <v>217</v>
      </c>
      <c r="D57" t="s">
        <v>127</v>
      </c>
      <c r="E57" t="s">
        <v>22</v>
      </c>
      <c r="F57" t="s">
        <v>23</v>
      </c>
      <c r="G57">
        <v>0.5</v>
      </c>
      <c r="H57">
        <v>0.33300000000000002</v>
      </c>
      <c r="I57">
        <f t="shared" si="2"/>
        <v>0.39975990396158467</v>
      </c>
      <c r="J57">
        <v>1</v>
      </c>
      <c r="K57">
        <v>0.5</v>
      </c>
      <c r="L57">
        <v>814</v>
      </c>
      <c r="M57">
        <f t="shared" si="3"/>
        <v>0.66700000000000004</v>
      </c>
    </row>
    <row r="58" spans="1:13">
      <c r="A58" t="s">
        <v>218</v>
      </c>
      <c r="B58" s="1" t="s">
        <v>656</v>
      </c>
      <c r="C58" t="s">
        <v>22</v>
      </c>
      <c r="D58" t="s">
        <v>91</v>
      </c>
      <c r="E58" t="s">
        <v>22</v>
      </c>
      <c r="F58" t="s">
        <v>23</v>
      </c>
      <c r="G58">
        <v>1</v>
      </c>
      <c r="H58">
        <v>0.33300000000000002</v>
      </c>
      <c r="I58">
        <f t="shared" si="2"/>
        <v>0.4996249062265567</v>
      </c>
      <c r="J58">
        <v>1</v>
      </c>
      <c r="K58">
        <v>1</v>
      </c>
      <c r="L58">
        <v>687</v>
      </c>
      <c r="M58">
        <f t="shared" si="3"/>
        <v>1</v>
      </c>
    </row>
    <row r="59" spans="1:13">
      <c r="A59" t="s">
        <v>219</v>
      </c>
      <c r="B59" s="1" t="s">
        <v>220</v>
      </c>
      <c r="C59" t="s">
        <v>221</v>
      </c>
      <c r="D59" t="s">
        <v>1</v>
      </c>
      <c r="E59" t="s">
        <v>221</v>
      </c>
      <c r="F59" t="s">
        <v>222</v>
      </c>
      <c r="G59">
        <v>1</v>
      </c>
      <c r="H59">
        <v>1</v>
      </c>
      <c r="I59">
        <f t="shared" si="2"/>
        <v>1</v>
      </c>
      <c r="J59">
        <v>1</v>
      </c>
      <c r="K59">
        <v>1</v>
      </c>
      <c r="L59">
        <v>764</v>
      </c>
      <c r="M59">
        <f t="shared" si="3"/>
        <v>1</v>
      </c>
    </row>
    <row r="60" spans="1:13">
      <c r="A60" t="s">
        <v>223</v>
      </c>
      <c r="B60" s="1" t="s">
        <v>7</v>
      </c>
      <c r="C60" t="s">
        <v>213</v>
      </c>
      <c r="D60" t="s">
        <v>113</v>
      </c>
      <c r="E60" t="s">
        <v>211</v>
      </c>
      <c r="F60" t="s">
        <v>11</v>
      </c>
      <c r="G60">
        <v>1</v>
      </c>
      <c r="H60">
        <v>0.5</v>
      </c>
      <c r="I60">
        <f t="shared" si="2"/>
        <v>0.66666666666666663</v>
      </c>
      <c r="J60">
        <v>1</v>
      </c>
      <c r="K60">
        <v>0.75</v>
      </c>
      <c r="L60">
        <v>711</v>
      </c>
      <c r="M60">
        <f t="shared" si="3"/>
        <v>0.85699999999999998</v>
      </c>
    </row>
    <row r="61" spans="1:13">
      <c r="A61" t="s">
        <v>224</v>
      </c>
      <c r="B61" s="1" t="s">
        <v>225</v>
      </c>
      <c r="C61" t="s">
        <v>226</v>
      </c>
      <c r="D61" t="s">
        <v>227</v>
      </c>
      <c r="E61" t="s">
        <v>55</v>
      </c>
      <c r="F61" t="s">
        <v>29</v>
      </c>
      <c r="G61">
        <v>0.5</v>
      </c>
      <c r="H61">
        <v>0.5</v>
      </c>
      <c r="I61">
        <f t="shared" si="2"/>
        <v>0.5</v>
      </c>
      <c r="J61">
        <v>1</v>
      </c>
      <c r="K61">
        <v>0.5</v>
      </c>
      <c r="L61">
        <v>791</v>
      </c>
      <c r="M61">
        <f t="shared" si="3"/>
        <v>0.66700000000000004</v>
      </c>
    </row>
    <row r="62" spans="1:13">
      <c r="A62" t="s">
        <v>228</v>
      </c>
      <c r="B62" s="1" t="s">
        <v>229</v>
      </c>
      <c r="C62" t="s">
        <v>230</v>
      </c>
      <c r="D62" t="s">
        <v>229</v>
      </c>
      <c r="E62" t="s">
        <v>231</v>
      </c>
      <c r="F62" t="s">
        <v>17</v>
      </c>
      <c r="G62">
        <v>1</v>
      </c>
      <c r="H62">
        <v>1</v>
      </c>
      <c r="I62">
        <f t="shared" si="2"/>
        <v>1</v>
      </c>
      <c r="J62">
        <v>0.25</v>
      </c>
      <c r="K62">
        <v>0.5</v>
      </c>
      <c r="L62">
        <v>776</v>
      </c>
      <c r="M62">
        <f t="shared" si="3"/>
        <v>0.33300000000000002</v>
      </c>
    </row>
    <row r="63" spans="1:13">
      <c r="A63" t="s">
        <v>232</v>
      </c>
      <c r="B63" s="1" t="s">
        <v>61</v>
      </c>
      <c r="C63" t="s">
        <v>233</v>
      </c>
      <c r="D63" t="s">
        <v>61</v>
      </c>
      <c r="E63" t="s">
        <v>234</v>
      </c>
      <c r="F63" t="s">
        <v>58</v>
      </c>
      <c r="G63">
        <v>1</v>
      </c>
      <c r="H63">
        <v>1</v>
      </c>
      <c r="I63">
        <f t="shared" si="2"/>
        <v>1</v>
      </c>
      <c r="J63">
        <v>0.4</v>
      </c>
      <c r="K63">
        <v>0.25</v>
      </c>
      <c r="L63">
        <v>751</v>
      </c>
      <c r="M63">
        <f t="shared" si="3"/>
        <v>0.308</v>
      </c>
    </row>
    <row r="64" spans="1:13">
      <c r="A64" t="s">
        <v>235</v>
      </c>
      <c r="B64" s="1" t="s">
        <v>236</v>
      </c>
      <c r="C64" t="s">
        <v>237</v>
      </c>
      <c r="D64" t="s">
        <v>238</v>
      </c>
      <c r="E64" t="s">
        <v>239</v>
      </c>
      <c r="F64" t="s">
        <v>69</v>
      </c>
      <c r="G64">
        <v>0.16700000000000001</v>
      </c>
      <c r="H64">
        <v>0.33300000000000002</v>
      </c>
      <c r="I64">
        <f t="shared" si="2"/>
        <v>0.22244400000000003</v>
      </c>
      <c r="J64">
        <v>0.14299999999999999</v>
      </c>
      <c r="K64">
        <v>0.5</v>
      </c>
      <c r="L64">
        <v>884</v>
      </c>
      <c r="M64">
        <f t="shared" si="3"/>
        <v>0.222</v>
      </c>
    </row>
    <row r="65" spans="1:13">
      <c r="A65" t="s">
        <v>240</v>
      </c>
      <c r="B65" s="1" t="s">
        <v>220</v>
      </c>
      <c r="C65" t="s">
        <v>221</v>
      </c>
      <c r="D65" t="s">
        <v>3</v>
      </c>
      <c r="E65" t="s">
        <v>241</v>
      </c>
      <c r="F65" t="s">
        <v>5</v>
      </c>
      <c r="G65">
        <v>1</v>
      </c>
      <c r="H65">
        <v>0.5</v>
      </c>
      <c r="I65">
        <f t="shared" si="2"/>
        <v>0.66666666666666663</v>
      </c>
      <c r="J65">
        <v>0</v>
      </c>
      <c r="K65">
        <v>0</v>
      </c>
      <c r="L65">
        <v>681</v>
      </c>
      <c r="M65">
        <f t="shared" si="3"/>
        <v>0</v>
      </c>
    </row>
    <row r="66" spans="1:13">
      <c r="A66" t="s">
        <v>242</v>
      </c>
      <c r="B66" s="1" t="s">
        <v>25</v>
      </c>
      <c r="C66" t="s">
        <v>243</v>
      </c>
      <c r="D66" t="s">
        <v>54</v>
      </c>
      <c r="E66" t="s">
        <v>55</v>
      </c>
      <c r="F66" t="s">
        <v>29</v>
      </c>
      <c r="G66">
        <v>1</v>
      </c>
      <c r="H66">
        <v>0.5</v>
      </c>
      <c r="I66">
        <f t="shared" ref="I66:I97" si="4">IF(G66+H66=0,0,2*G66*H66/(G66+H66))</f>
        <v>0.66666666666666663</v>
      </c>
      <c r="J66">
        <v>1</v>
      </c>
      <c r="K66">
        <v>0.5</v>
      </c>
      <c r="L66">
        <v>686</v>
      </c>
      <c r="M66">
        <f t="shared" ref="M66:M94" si="5">IF(J66+K66=0,0,ROUND(2*J66*K66/(J66+K66),3))</f>
        <v>0.66700000000000004</v>
      </c>
    </row>
    <row r="67" spans="1:13">
      <c r="A67" t="s">
        <v>244</v>
      </c>
      <c r="B67" s="1" t="s">
        <v>245</v>
      </c>
      <c r="C67" t="s">
        <v>246</v>
      </c>
      <c r="D67" t="s">
        <v>247</v>
      </c>
      <c r="E67" t="s">
        <v>248</v>
      </c>
      <c r="F67" t="s">
        <v>58</v>
      </c>
      <c r="G67">
        <v>0.33300000000000002</v>
      </c>
      <c r="H67">
        <v>0.5</v>
      </c>
      <c r="I67">
        <f t="shared" si="4"/>
        <v>0.39975990396158467</v>
      </c>
      <c r="J67">
        <v>0</v>
      </c>
      <c r="K67">
        <v>0</v>
      </c>
      <c r="L67">
        <v>762</v>
      </c>
      <c r="M67">
        <f t="shared" si="5"/>
        <v>0</v>
      </c>
    </row>
    <row r="68" spans="1:13">
      <c r="A68" t="s">
        <v>249</v>
      </c>
      <c r="B68" s="1" t="s">
        <v>54</v>
      </c>
      <c r="C68" t="s">
        <v>250</v>
      </c>
      <c r="D68" t="s">
        <v>251</v>
      </c>
      <c r="E68" t="s">
        <v>252</v>
      </c>
      <c r="F68" t="s">
        <v>11</v>
      </c>
      <c r="G68">
        <v>0</v>
      </c>
      <c r="H68">
        <v>0</v>
      </c>
      <c r="I68">
        <f t="shared" si="4"/>
        <v>0</v>
      </c>
      <c r="J68">
        <v>0.57099999999999995</v>
      </c>
      <c r="K68">
        <v>1</v>
      </c>
      <c r="L68">
        <v>689</v>
      </c>
      <c r="M68">
        <f t="shared" si="5"/>
        <v>0.72699999999999998</v>
      </c>
    </row>
    <row r="69" spans="1:13">
      <c r="A69" t="s">
        <v>253</v>
      </c>
      <c r="B69" s="1" t="s">
        <v>254</v>
      </c>
      <c r="C69" t="s">
        <v>255</v>
      </c>
      <c r="D69" t="s">
        <v>254</v>
      </c>
      <c r="E69" t="s">
        <v>256</v>
      </c>
      <c r="F69" t="s">
        <v>11</v>
      </c>
      <c r="G69">
        <v>1</v>
      </c>
      <c r="H69">
        <v>1</v>
      </c>
      <c r="I69">
        <f t="shared" si="4"/>
        <v>1</v>
      </c>
      <c r="J69">
        <v>0.66700000000000004</v>
      </c>
      <c r="K69">
        <v>0.5</v>
      </c>
      <c r="L69">
        <v>708</v>
      </c>
      <c r="M69">
        <f t="shared" si="5"/>
        <v>0.57199999999999995</v>
      </c>
    </row>
    <row r="70" spans="1:13">
      <c r="A70" t="s">
        <v>257</v>
      </c>
      <c r="B70" s="1" t="s">
        <v>7</v>
      </c>
      <c r="C70" t="s">
        <v>258</v>
      </c>
      <c r="D70" t="s">
        <v>259</v>
      </c>
      <c r="E70" t="s">
        <v>260</v>
      </c>
      <c r="F70" t="s">
        <v>69</v>
      </c>
      <c r="G70">
        <v>0.66700000000000004</v>
      </c>
      <c r="H70">
        <v>1</v>
      </c>
      <c r="I70">
        <f t="shared" si="4"/>
        <v>0.80023995200959808</v>
      </c>
      <c r="J70">
        <v>0.8</v>
      </c>
      <c r="K70">
        <v>0.66700000000000004</v>
      </c>
      <c r="L70">
        <v>800</v>
      </c>
      <c r="M70">
        <f t="shared" si="5"/>
        <v>0.72699999999999998</v>
      </c>
    </row>
    <row r="71" spans="1:13">
      <c r="A71" t="s">
        <v>261</v>
      </c>
      <c r="B71" s="1" t="s">
        <v>25</v>
      </c>
      <c r="C71" t="s">
        <v>118</v>
      </c>
      <c r="D71" t="s">
        <v>33</v>
      </c>
      <c r="E71" t="s">
        <v>262</v>
      </c>
      <c r="F71" t="s">
        <v>29</v>
      </c>
      <c r="G71">
        <v>1</v>
      </c>
      <c r="H71">
        <v>0.5</v>
      </c>
      <c r="I71">
        <f t="shared" si="4"/>
        <v>0.66666666666666663</v>
      </c>
      <c r="J71">
        <v>0.66700000000000004</v>
      </c>
      <c r="K71">
        <v>1</v>
      </c>
      <c r="L71">
        <v>664</v>
      </c>
      <c r="M71">
        <f t="shared" si="5"/>
        <v>0.8</v>
      </c>
    </row>
    <row r="72" spans="1:13">
      <c r="A72" t="s">
        <v>18</v>
      </c>
      <c r="B72" s="1" t="s">
        <v>46</v>
      </c>
      <c r="C72" t="s">
        <v>22</v>
      </c>
      <c r="D72" t="s">
        <v>263</v>
      </c>
      <c r="E72" t="s">
        <v>22</v>
      </c>
      <c r="F72" t="s">
        <v>23</v>
      </c>
      <c r="G72">
        <v>1</v>
      </c>
      <c r="H72">
        <v>0.5</v>
      </c>
      <c r="I72">
        <f t="shared" si="4"/>
        <v>0.66666666666666663</v>
      </c>
      <c r="J72">
        <v>1</v>
      </c>
      <c r="K72">
        <v>1</v>
      </c>
      <c r="L72">
        <v>756</v>
      </c>
      <c r="M72">
        <f t="shared" si="5"/>
        <v>1</v>
      </c>
    </row>
    <row r="73" spans="1:13">
      <c r="A73" t="s">
        <v>264</v>
      </c>
      <c r="B73" s="1" t="s">
        <v>46</v>
      </c>
      <c r="C73" t="s">
        <v>265</v>
      </c>
      <c r="D73" t="s">
        <v>48</v>
      </c>
      <c r="E73" t="s">
        <v>266</v>
      </c>
      <c r="F73" t="s">
        <v>58</v>
      </c>
      <c r="G73">
        <v>0.5</v>
      </c>
      <c r="H73">
        <v>0.5</v>
      </c>
      <c r="I73">
        <f t="shared" si="4"/>
        <v>0.5</v>
      </c>
      <c r="J73">
        <v>0.2</v>
      </c>
      <c r="K73">
        <v>1</v>
      </c>
      <c r="L73">
        <v>810</v>
      </c>
      <c r="M73">
        <f t="shared" si="5"/>
        <v>0.33300000000000002</v>
      </c>
    </row>
    <row r="74" spans="1:13">
      <c r="A74" t="s">
        <v>267</v>
      </c>
      <c r="B74" s="1" t="s">
        <v>19</v>
      </c>
      <c r="C74" t="s">
        <v>268</v>
      </c>
      <c r="D74" t="s">
        <v>100</v>
      </c>
      <c r="E74" t="s">
        <v>269</v>
      </c>
      <c r="F74" t="s">
        <v>35</v>
      </c>
      <c r="G74">
        <v>0.5</v>
      </c>
      <c r="H74">
        <v>0.5</v>
      </c>
      <c r="I74">
        <f t="shared" si="4"/>
        <v>0.5</v>
      </c>
      <c r="J74">
        <v>1</v>
      </c>
      <c r="K74">
        <v>0.33300000000000002</v>
      </c>
      <c r="L74">
        <v>778</v>
      </c>
      <c r="M74">
        <f t="shared" si="5"/>
        <v>0.5</v>
      </c>
    </row>
    <row r="75" spans="1:13">
      <c r="A75" t="s">
        <v>270</v>
      </c>
      <c r="B75" s="1" t="s">
        <v>271</v>
      </c>
      <c r="C75" t="s">
        <v>272</v>
      </c>
      <c r="D75" t="s">
        <v>273</v>
      </c>
      <c r="E75" t="s">
        <v>274</v>
      </c>
      <c r="F75" t="s">
        <v>23</v>
      </c>
      <c r="G75">
        <v>0</v>
      </c>
      <c r="H75">
        <v>0</v>
      </c>
      <c r="I75">
        <f t="shared" si="4"/>
        <v>0</v>
      </c>
      <c r="J75">
        <v>1</v>
      </c>
      <c r="K75">
        <v>0.4</v>
      </c>
      <c r="L75">
        <v>868</v>
      </c>
      <c r="M75">
        <f t="shared" si="5"/>
        <v>0.57099999999999995</v>
      </c>
    </row>
    <row r="76" spans="1:13">
      <c r="A76" t="s">
        <v>275</v>
      </c>
      <c r="B76" s="1" t="s">
        <v>236</v>
      </c>
      <c r="C76" t="s">
        <v>276</v>
      </c>
      <c r="D76" t="s">
        <v>277</v>
      </c>
      <c r="E76" t="s">
        <v>278</v>
      </c>
      <c r="F76" t="s">
        <v>29</v>
      </c>
      <c r="G76">
        <v>1</v>
      </c>
      <c r="H76">
        <v>0.33300000000000002</v>
      </c>
      <c r="I76">
        <f t="shared" si="4"/>
        <v>0.4996249062265567</v>
      </c>
      <c r="J76">
        <v>0.25</v>
      </c>
      <c r="K76">
        <v>1</v>
      </c>
      <c r="L76">
        <v>698</v>
      </c>
      <c r="M76">
        <f t="shared" si="5"/>
        <v>0.4</v>
      </c>
    </row>
    <row r="77" spans="1:13">
      <c r="A77" t="s">
        <v>279</v>
      </c>
      <c r="B77" s="1" t="s">
        <v>54</v>
      </c>
      <c r="C77" t="s">
        <v>280</v>
      </c>
      <c r="D77" t="s">
        <v>54</v>
      </c>
      <c r="E77" t="s">
        <v>281</v>
      </c>
      <c r="F77" t="s">
        <v>29</v>
      </c>
      <c r="G77">
        <v>1</v>
      </c>
      <c r="H77">
        <v>1</v>
      </c>
      <c r="I77">
        <f t="shared" si="4"/>
        <v>1</v>
      </c>
      <c r="J77">
        <v>0.66700000000000004</v>
      </c>
      <c r="K77">
        <v>0.66700000000000004</v>
      </c>
      <c r="L77">
        <v>693</v>
      </c>
      <c r="M77">
        <f t="shared" si="5"/>
        <v>0.66700000000000004</v>
      </c>
    </row>
    <row r="78" spans="1:13">
      <c r="A78" t="s">
        <v>282</v>
      </c>
      <c r="B78" s="1" t="s">
        <v>283</v>
      </c>
      <c r="C78" t="s">
        <v>284</v>
      </c>
      <c r="D78" t="s">
        <v>285</v>
      </c>
      <c r="E78" t="s">
        <v>286</v>
      </c>
      <c r="F78" t="s">
        <v>58</v>
      </c>
      <c r="G78">
        <v>0.5</v>
      </c>
      <c r="H78">
        <v>0.33300000000000002</v>
      </c>
      <c r="I78">
        <f t="shared" si="4"/>
        <v>0.39975990396158467</v>
      </c>
      <c r="J78">
        <v>0.5</v>
      </c>
      <c r="K78">
        <v>1</v>
      </c>
      <c r="L78">
        <v>744</v>
      </c>
      <c r="M78">
        <f t="shared" si="5"/>
        <v>0.66700000000000004</v>
      </c>
    </row>
    <row r="79" spans="1:13">
      <c r="A79" t="s">
        <v>287</v>
      </c>
      <c r="B79" s="1" t="s">
        <v>7</v>
      </c>
      <c r="C79" t="s">
        <v>288</v>
      </c>
      <c r="D79" t="s">
        <v>9</v>
      </c>
      <c r="E79" t="s">
        <v>289</v>
      </c>
      <c r="F79" t="s">
        <v>69</v>
      </c>
      <c r="G79">
        <v>1</v>
      </c>
      <c r="H79">
        <v>0.5</v>
      </c>
      <c r="I79">
        <f t="shared" si="4"/>
        <v>0.66666666666666663</v>
      </c>
      <c r="J79">
        <v>0.75</v>
      </c>
      <c r="K79">
        <v>0.75</v>
      </c>
      <c r="L79">
        <v>705</v>
      </c>
      <c r="M79">
        <f t="shared" si="5"/>
        <v>0.75</v>
      </c>
    </row>
    <row r="80" spans="1:13">
      <c r="A80" t="s">
        <v>290</v>
      </c>
      <c r="B80" s="1" t="s">
        <v>291</v>
      </c>
      <c r="C80" t="s">
        <v>292</v>
      </c>
      <c r="D80" t="s">
        <v>87</v>
      </c>
      <c r="E80" t="s">
        <v>293</v>
      </c>
      <c r="F80" t="s">
        <v>11</v>
      </c>
      <c r="G80">
        <v>0.5</v>
      </c>
      <c r="H80">
        <v>0.5</v>
      </c>
      <c r="I80">
        <f t="shared" si="4"/>
        <v>0.5</v>
      </c>
      <c r="J80">
        <v>0.66700000000000004</v>
      </c>
      <c r="K80">
        <v>0.5</v>
      </c>
      <c r="L80">
        <v>744</v>
      </c>
      <c r="M80">
        <f t="shared" si="5"/>
        <v>0.57199999999999995</v>
      </c>
    </row>
    <row r="81" spans="1:13">
      <c r="A81" s="3" t="s">
        <v>294</v>
      </c>
      <c r="B81" s="1" t="s">
        <v>295</v>
      </c>
      <c r="C81" t="s">
        <v>284</v>
      </c>
      <c r="D81" t="s">
        <v>296</v>
      </c>
      <c r="E81" t="s">
        <v>297</v>
      </c>
      <c r="F81" t="s">
        <v>58</v>
      </c>
      <c r="G81">
        <v>0.5</v>
      </c>
      <c r="H81">
        <v>0.5</v>
      </c>
      <c r="I81">
        <f t="shared" si="4"/>
        <v>0.5</v>
      </c>
      <c r="J81">
        <v>0.4</v>
      </c>
      <c r="K81">
        <v>1</v>
      </c>
      <c r="L81">
        <v>783</v>
      </c>
      <c r="M81">
        <f t="shared" si="5"/>
        <v>0.57099999999999995</v>
      </c>
    </row>
    <row r="82" spans="1:13">
      <c r="A82" t="s">
        <v>298</v>
      </c>
      <c r="B82" s="1" t="s">
        <v>299</v>
      </c>
      <c r="C82" t="s">
        <v>300</v>
      </c>
      <c r="D82" t="s">
        <v>301</v>
      </c>
      <c r="E82" t="s">
        <v>256</v>
      </c>
      <c r="F82" t="s">
        <v>11</v>
      </c>
      <c r="G82">
        <v>0.5</v>
      </c>
      <c r="H82">
        <v>0.5</v>
      </c>
      <c r="I82">
        <f t="shared" si="4"/>
        <v>0.5</v>
      </c>
      <c r="J82">
        <v>1</v>
      </c>
      <c r="K82">
        <v>0.75</v>
      </c>
      <c r="L82">
        <v>715</v>
      </c>
      <c r="M82">
        <f t="shared" si="5"/>
        <v>0.85699999999999998</v>
      </c>
    </row>
    <row r="83" spans="1:13">
      <c r="A83" t="s">
        <v>302</v>
      </c>
      <c r="B83" s="1" t="s">
        <v>303</v>
      </c>
      <c r="C83" t="s">
        <v>304</v>
      </c>
      <c r="D83" t="s">
        <v>305</v>
      </c>
      <c r="E83" t="s">
        <v>306</v>
      </c>
      <c r="F83" t="s">
        <v>23</v>
      </c>
      <c r="G83">
        <v>0.5</v>
      </c>
      <c r="H83">
        <v>0.33300000000000002</v>
      </c>
      <c r="I83">
        <f t="shared" si="4"/>
        <v>0.39975990396158467</v>
      </c>
      <c r="J83">
        <v>0.75</v>
      </c>
      <c r="K83">
        <v>1</v>
      </c>
      <c r="L83">
        <v>811</v>
      </c>
      <c r="M83">
        <f t="shared" si="5"/>
        <v>0.85699999999999998</v>
      </c>
    </row>
    <row r="84" spans="1:13">
      <c r="A84" t="s">
        <v>307</v>
      </c>
      <c r="B84" s="1" t="s">
        <v>183</v>
      </c>
      <c r="C84" t="s">
        <v>308</v>
      </c>
      <c r="D84" t="s">
        <v>309</v>
      </c>
      <c r="E84" t="s">
        <v>118</v>
      </c>
      <c r="F84" t="s">
        <v>29</v>
      </c>
      <c r="G84">
        <v>0.5</v>
      </c>
      <c r="H84">
        <v>0.5</v>
      </c>
      <c r="I84">
        <f t="shared" si="4"/>
        <v>0.5</v>
      </c>
      <c r="J84">
        <v>0</v>
      </c>
      <c r="K84">
        <v>0</v>
      </c>
      <c r="L84">
        <v>715</v>
      </c>
      <c r="M84">
        <f t="shared" si="5"/>
        <v>0</v>
      </c>
    </row>
    <row r="85" spans="1:13">
      <c r="A85" t="s">
        <v>310</v>
      </c>
      <c r="B85" s="1" t="s">
        <v>19</v>
      </c>
      <c r="C85" t="s">
        <v>311</v>
      </c>
      <c r="D85" t="s">
        <v>167</v>
      </c>
      <c r="E85" t="s">
        <v>312</v>
      </c>
      <c r="F85" t="s">
        <v>23</v>
      </c>
      <c r="G85">
        <v>0.5</v>
      </c>
      <c r="H85">
        <v>0.5</v>
      </c>
      <c r="I85">
        <f t="shared" si="4"/>
        <v>0.5</v>
      </c>
      <c r="J85">
        <v>0.5</v>
      </c>
      <c r="K85">
        <v>1</v>
      </c>
      <c r="L85">
        <v>796</v>
      </c>
      <c r="M85">
        <f t="shared" si="5"/>
        <v>0.66700000000000004</v>
      </c>
    </row>
    <row r="86" spans="1:13">
      <c r="A86" t="s">
        <v>313</v>
      </c>
      <c r="B86" s="1" t="s">
        <v>46</v>
      </c>
      <c r="C86" t="s">
        <v>314</v>
      </c>
      <c r="D86" t="s">
        <v>153</v>
      </c>
      <c r="E86" t="s">
        <v>315</v>
      </c>
      <c r="F86" t="s">
        <v>58</v>
      </c>
      <c r="G86">
        <v>0.5</v>
      </c>
      <c r="H86">
        <v>0.5</v>
      </c>
      <c r="I86">
        <f t="shared" si="4"/>
        <v>0.5</v>
      </c>
      <c r="J86">
        <v>0.375</v>
      </c>
      <c r="K86">
        <v>0.6</v>
      </c>
      <c r="L86">
        <v>812</v>
      </c>
      <c r="M86">
        <f t="shared" si="5"/>
        <v>0.46200000000000002</v>
      </c>
    </row>
    <row r="87" spans="1:13">
      <c r="A87" t="s">
        <v>316</v>
      </c>
      <c r="B87" s="1" t="s">
        <v>19</v>
      </c>
      <c r="C87" t="s">
        <v>317</v>
      </c>
      <c r="D87" t="s">
        <v>61</v>
      </c>
      <c r="E87" t="s">
        <v>318</v>
      </c>
      <c r="F87" t="s">
        <v>23</v>
      </c>
      <c r="G87">
        <v>1</v>
      </c>
      <c r="H87">
        <v>0.5</v>
      </c>
      <c r="I87">
        <f t="shared" si="4"/>
        <v>0.66666666666666663</v>
      </c>
      <c r="J87">
        <v>0</v>
      </c>
      <c r="K87">
        <v>0</v>
      </c>
      <c r="L87">
        <v>779</v>
      </c>
      <c r="M87">
        <f t="shared" si="5"/>
        <v>0</v>
      </c>
    </row>
    <row r="88" spans="1:13">
      <c r="A88" t="s">
        <v>319</v>
      </c>
      <c r="B88" s="1" t="s">
        <v>320</v>
      </c>
      <c r="C88" t="s">
        <v>321</v>
      </c>
      <c r="D88" t="s">
        <v>48</v>
      </c>
      <c r="E88" t="s">
        <v>322</v>
      </c>
      <c r="F88" t="s">
        <v>58</v>
      </c>
      <c r="G88">
        <v>0.5</v>
      </c>
      <c r="H88">
        <v>0.33300000000000002</v>
      </c>
      <c r="I88">
        <f t="shared" si="4"/>
        <v>0.39975990396158467</v>
      </c>
      <c r="J88">
        <v>0.75</v>
      </c>
      <c r="K88">
        <v>1</v>
      </c>
      <c r="L88">
        <v>807</v>
      </c>
      <c r="M88">
        <f t="shared" si="5"/>
        <v>0.85699999999999998</v>
      </c>
    </row>
    <row r="89" spans="1:13">
      <c r="A89" t="s">
        <v>323</v>
      </c>
      <c r="B89" s="1" t="s">
        <v>37</v>
      </c>
      <c r="C89" t="s">
        <v>324</v>
      </c>
      <c r="D89" t="s">
        <v>37</v>
      </c>
      <c r="E89" t="s">
        <v>325</v>
      </c>
      <c r="F89" t="s">
        <v>83</v>
      </c>
      <c r="G89">
        <v>1</v>
      </c>
      <c r="H89">
        <v>1</v>
      </c>
      <c r="I89">
        <f t="shared" si="4"/>
        <v>1</v>
      </c>
      <c r="J89">
        <v>0.4</v>
      </c>
      <c r="K89">
        <v>1</v>
      </c>
      <c r="L89">
        <v>700</v>
      </c>
      <c r="M89">
        <f t="shared" si="5"/>
        <v>0.57099999999999995</v>
      </c>
    </row>
    <row r="90" spans="1:13">
      <c r="A90" t="s">
        <v>267</v>
      </c>
      <c r="B90" s="1" t="s">
        <v>19</v>
      </c>
      <c r="C90" t="s">
        <v>268</v>
      </c>
      <c r="D90" t="s">
        <v>100</v>
      </c>
      <c r="E90" t="s">
        <v>269</v>
      </c>
      <c r="F90" t="s">
        <v>35</v>
      </c>
      <c r="G90">
        <v>0.5</v>
      </c>
      <c r="H90">
        <v>0.5</v>
      </c>
      <c r="I90">
        <f t="shared" si="4"/>
        <v>0.5</v>
      </c>
      <c r="J90">
        <v>1</v>
      </c>
      <c r="K90">
        <v>0.33300000000000002</v>
      </c>
      <c r="L90">
        <v>778</v>
      </c>
      <c r="M90">
        <f t="shared" si="5"/>
        <v>0.5</v>
      </c>
    </row>
    <row r="91" spans="1:13">
      <c r="A91" t="s">
        <v>326</v>
      </c>
      <c r="B91" s="1" t="s">
        <v>183</v>
      </c>
      <c r="C91" t="s">
        <v>327</v>
      </c>
      <c r="D91" t="s">
        <v>167</v>
      </c>
      <c r="E91" t="s">
        <v>328</v>
      </c>
      <c r="F91" t="s">
        <v>58</v>
      </c>
      <c r="G91">
        <v>0.5</v>
      </c>
      <c r="H91">
        <v>0.5</v>
      </c>
      <c r="I91">
        <f t="shared" si="4"/>
        <v>0.5</v>
      </c>
      <c r="J91">
        <v>0.2</v>
      </c>
      <c r="K91">
        <v>0.2</v>
      </c>
      <c r="L91">
        <v>780</v>
      </c>
      <c r="M91">
        <f t="shared" si="5"/>
        <v>0.2</v>
      </c>
    </row>
    <row r="92" spans="1:13">
      <c r="A92" t="s">
        <v>329</v>
      </c>
      <c r="B92" s="1" t="s">
        <v>13</v>
      </c>
      <c r="C92" t="s">
        <v>330</v>
      </c>
      <c r="D92" t="s">
        <v>13</v>
      </c>
      <c r="E92" t="s">
        <v>331</v>
      </c>
      <c r="F92" t="s">
        <v>17</v>
      </c>
      <c r="G92">
        <v>1</v>
      </c>
      <c r="H92">
        <v>1</v>
      </c>
      <c r="I92">
        <f t="shared" si="4"/>
        <v>1</v>
      </c>
      <c r="J92">
        <v>1</v>
      </c>
      <c r="K92">
        <v>0.66700000000000004</v>
      </c>
      <c r="L92">
        <v>699</v>
      </c>
      <c r="M92">
        <f t="shared" si="5"/>
        <v>0.8</v>
      </c>
    </row>
    <row r="93" spans="1:13">
      <c r="A93" t="s">
        <v>332</v>
      </c>
      <c r="B93" s="1" t="s">
        <v>37</v>
      </c>
      <c r="C93" t="s">
        <v>324</v>
      </c>
      <c r="D93" t="s">
        <v>37</v>
      </c>
      <c r="E93" t="s">
        <v>333</v>
      </c>
      <c r="F93" t="s">
        <v>83</v>
      </c>
      <c r="G93">
        <v>1</v>
      </c>
      <c r="H93">
        <v>1</v>
      </c>
      <c r="I93">
        <f t="shared" si="4"/>
        <v>1</v>
      </c>
      <c r="J93">
        <v>0.4</v>
      </c>
      <c r="K93">
        <v>1</v>
      </c>
      <c r="L93">
        <v>702</v>
      </c>
      <c r="M93">
        <f t="shared" si="5"/>
        <v>0.57099999999999995</v>
      </c>
    </row>
    <row r="94" spans="1:13">
      <c r="A94" t="s">
        <v>334</v>
      </c>
      <c r="B94" s="1" t="s">
        <v>61</v>
      </c>
      <c r="C94" t="s">
        <v>221</v>
      </c>
      <c r="D94" t="s">
        <v>1</v>
      </c>
      <c r="E94" t="s">
        <v>221</v>
      </c>
      <c r="F94" t="s">
        <v>222</v>
      </c>
      <c r="G94">
        <v>0.5</v>
      </c>
      <c r="H94">
        <v>1</v>
      </c>
      <c r="I94">
        <f t="shared" si="4"/>
        <v>0.66666666666666663</v>
      </c>
      <c r="J94">
        <v>1</v>
      </c>
      <c r="K94">
        <v>1</v>
      </c>
      <c r="L94">
        <v>758</v>
      </c>
      <c r="M94">
        <f t="shared" si="5"/>
        <v>1</v>
      </c>
    </row>
  </sheetData>
  <autoFilter ref="M1:M94" xr:uid="{00000000-0009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4"/>
  <sheetViews>
    <sheetView topLeftCell="B1" zoomScale="70" zoomScaleNormal="70" workbookViewId="0">
      <selection activeCell="O8" sqref="O8"/>
    </sheetView>
  </sheetViews>
  <sheetFormatPr defaultRowHeight="18"/>
  <cols>
    <col min="1" max="1" width="86.08203125" customWidth="1"/>
    <col min="2" max="2" width="12.6640625" customWidth="1"/>
    <col min="3" max="3" width="11.4140625" customWidth="1"/>
    <col min="4" max="4" width="13.5" customWidth="1"/>
    <col min="5" max="5" width="38.1640625" customWidth="1"/>
    <col min="7" max="7" width="11.08203125" customWidth="1"/>
    <col min="8" max="8" width="10.9140625" customWidth="1"/>
    <col min="13" max="13" width="16.5" customWidth="1"/>
    <col min="14" max="14" width="19.1640625" customWidth="1"/>
    <col min="15" max="15" width="17.4140625" customWidth="1"/>
    <col min="16" max="16" width="11.08203125" customWidth="1"/>
  </cols>
  <sheetData>
    <row r="1" spans="1:16" s="5" customFormat="1">
      <c r="A1" s="5" t="s">
        <v>634</v>
      </c>
      <c r="B1" s="5" t="s">
        <v>647</v>
      </c>
      <c r="C1" s="5" t="s">
        <v>635</v>
      </c>
      <c r="D1" s="5" t="s">
        <v>648</v>
      </c>
      <c r="E1" s="5" t="s">
        <v>636</v>
      </c>
      <c r="F1" s="5" t="s">
        <v>637</v>
      </c>
      <c r="G1" s="5" t="s">
        <v>649</v>
      </c>
      <c r="H1" s="5" t="s">
        <v>650</v>
      </c>
      <c r="I1" s="5" t="s">
        <v>651</v>
      </c>
      <c r="J1" s="5" t="s">
        <v>638</v>
      </c>
      <c r="K1" s="5" t="s">
        <v>639</v>
      </c>
      <c r="L1" s="5" t="s">
        <v>640</v>
      </c>
      <c r="M1" s="5" t="s">
        <v>641</v>
      </c>
      <c r="N1" s="5" t="s">
        <v>642</v>
      </c>
      <c r="O1" s="5" t="s">
        <v>643</v>
      </c>
      <c r="P1" s="6" t="s">
        <v>644</v>
      </c>
    </row>
    <row r="2" spans="1:16" ht="21" customHeight="1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335</v>
      </c>
      <c r="G2">
        <v>1</v>
      </c>
      <c r="H2">
        <v>0.5</v>
      </c>
      <c r="I2">
        <f t="shared" ref="I2:I33" si="0">IF(G2+H2=0,0,2*G2*H2/(G2+H2))</f>
        <v>0.66666666666666663</v>
      </c>
      <c r="J2">
        <v>1</v>
      </c>
      <c r="K2">
        <v>0.66700000000000004</v>
      </c>
      <c r="L2">
        <v>532</v>
      </c>
      <c r="M2">
        <f t="shared" ref="M2:M33" si="1">IF(J2+K2=0,0,ROUND(2*J2*K2/(J2+K2),3))</f>
        <v>0.8</v>
      </c>
      <c r="N2" s="2">
        <f>ROUND(AVERAGE(J2:J94),3)</f>
        <v>0.57599999999999996</v>
      </c>
      <c r="O2" s="2">
        <f>ROUND(AVERAGE(K2:K94),3)</f>
        <v>0.54400000000000004</v>
      </c>
      <c r="P2" s="2">
        <f>SUM(M2:M94)/93</f>
        <v>0.51977419354838716</v>
      </c>
    </row>
    <row r="3" spans="1:16" ht="19" customHeight="1">
      <c r="A3" t="s">
        <v>6</v>
      </c>
      <c r="B3" s="1" t="s">
        <v>7</v>
      </c>
      <c r="C3" t="s">
        <v>8</v>
      </c>
      <c r="D3" t="s">
        <v>67</v>
      </c>
      <c r="E3" t="s">
        <v>336</v>
      </c>
      <c r="F3" t="s">
        <v>337</v>
      </c>
      <c r="G3">
        <v>1</v>
      </c>
      <c r="H3">
        <v>1</v>
      </c>
      <c r="I3">
        <f t="shared" si="0"/>
        <v>1</v>
      </c>
      <c r="J3">
        <v>1</v>
      </c>
      <c r="K3">
        <v>0.6</v>
      </c>
      <c r="L3">
        <v>609</v>
      </c>
      <c r="M3">
        <f t="shared" si="1"/>
        <v>0.75</v>
      </c>
      <c r="P3" s="2"/>
    </row>
    <row r="4" spans="1:16" ht="19.5" customHeight="1">
      <c r="A4" t="s">
        <v>12</v>
      </c>
      <c r="B4" s="1" t="s">
        <v>13</v>
      </c>
      <c r="C4" t="s">
        <v>14</v>
      </c>
      <c r="D4" t="s">
        <v>3</v>
      </c>
      <c r="E4" t="s">
        <v>97</v>
      </c>
      <c r="F4" t="s">
        <v>35</v>
      </c>
      <c r="G4">
        <v>0</v>
      </c>
      <c r="H4">
        <v>0</v>
      </c>
      <c r="I4">
        <f t="shared" si="0"/>
        <v>0</v>
      </c>
      <c r="J4">
        <v>1</v>
      </c>
      <c r="K4">
        <v>0.33300000000000002</v>
      </c>
      <c r="L4">
        <v>515</v>
      </c>
      <c r="M4">
        <f t="shared" si="1"/>
        <v>0.5</v>
      </c>
      <c r="N4" t="s">
        <v>652</v>
      </c>
      <c r="O4" t="s">
        <v>653</v>
      </c>
      <c r="P4" s="2" t="s">
        <v>654</v>
      </c>
    </row>
    <row r="5" spans="1:16">
      <c r="A5" t="s">
        <v>18</v>
      </c>
      <c r="B5" s="1" t="s">
        <v>19</v>
      </c>
      <c r="C5" t="s">
        <v>20</v>
      </c>
      <c r="D5" t="s">
        <v>127</v>
      </c>
      <c r="E5" t="s">
        <v>338</v>
      </c>
      <c r="F5" t="s">
        <v>339</v>
      </c>
      <c r="G5">
        <v>0.5</v>
      </c>
      <c r="H5">
        <v>0.5</v>
      </c>
      <c r="I5">
        <f t="shared" si="0"/>
        <v>0.5</v>
      </c>
      <c r="J5">
        <v>0.33300000000000002</v>
      </c>
      <c r="K5">
        <v>0.5</v>
      </c>
      <c r="L5">
        <v>669</v>
      </c>
      <c r="M5">
        <f t="shared" si="1"/>
        <v>0.4</v>
      </c>
      <c r="N5" s="2">
        <f>ROUND(AVERAGE(G2:G94),3)</f>
        <v>0.64500000000000002</v>
      </c>
      <c r="O5" s="2">
        <f>ROUND(AVERAGE(H2:H94),3)</f>
        <v>0.51800000000000002</v>
      </c>
      <c r="P5" s="2">
        <f>ROUND(AVERAGE(I2:I94),3)</f>
        <v>0.55300000000000005</v>
      </c>
    </row>
    <row r="6" spans="1:16">
      <c r="A6" t="s">
        <v>24</v>
      </c>
      <c r="B6" s="1" t="s">
        <v>25</v>
      </c>
      <c r="C6" t="s">
        <v>26</v>
      </c>
      <c r="D6" t="s">
        <v>25</v>
      </c>
      <c r="E6" t="s">
        <v>340</v>
      </c>
      <c r="F6" t="s">
        <v>341</v>
      </c>
      <c r="G6">
        <v>1</v>
      </c>
      <c r="H6">
        <v>1</v>
      </c>
      <c r="I6">
        <f t="shared" si="0"/>
        <v>1</v>
      </c>
      <c r="J6">
        <v>0.8</v>
      </c>
      <c r="K6">
        <v>1</v>
      </c>
      <c r="L6">
        <v>548</v>
      </c>
      <c r="M6">
        <f t="shared" si="1"/>
        <v>0.88900000000000001</v>
      </c>
      <c r="O6" t="s">
        <v>645</v>
      </c>
    </row>
    <row r="7" spans="1:16">
      <c r="A7" t="s">
        <v>30</v>
      </c>
      <c r="B7" s="1" t="s">
        <v>31</v>
      </c>
      <c r="C7" t="s">
        <v>32</v>
      </c>
      <c r="D7" t="s">
        <v>3</v>
      </c>
      <c r="E7" t="s">
        <v>97</v>
      </c>
      <c r="F7" t="s">
        <v>35</v>
      </c>
      <c r="G7">
        <v>0</v>
      </c>
      <c r="H7">
        <v>0</v>
      </c>
      <c r="I7">
        <f t="shared" si="0"/>
        <v>0</v>
      </c>
      <c r="J7">
        <v>1</v>
      </c>
      <c r="K7">
        <v>0.2</v>
      </c>
      <c r="L7">
        <v>515</v>
      </c>
      <c r="M7">
        <f t="shared" si="1"/>
        <v>0.33300000000000002</v>
      </c>
      <c r="O7" s="4">
        <f>AVERAGE(L2:L94)</f>
        <v>582.76344086021504</v>
      </c>
    </row>
    <row r="8" spans="1:16">
      <c r="A8" t="s">
        <v>36</v>
      </c>
      <c r="B8" s="1" t="s">
        <v>37</v>
      </c>
      <c r="C8" t="s">
        <v>38</v>
      </c>
      <c r="D8" t="s">
        <v>37</v>
      </c>
      <c r="E8" t="s">
        <v>342</v>
      </c>
      <c r="F8" t="s">
        <v>341</v>
      </c>
      <c r="G8">
        <v>1</v>
      </c>
      <c r="H8">
        <v>1</v>
      </c>
      <c r="I8">
        <f t="shared" si="0"/>
        <v>1</v>
      </c>
      <c r="J8">
        <v>0.33300000000000002</v>
      </c>
      <c r="K8">
        <v>0.5</v>
      </c>
      <c r="L8">
        <v>550</v>
      </c>
      <c r="M8">
        <f t="shared" si="1"/>
        <v>0.4</v>
      </c>
      <c r="O8" t="s">
        <v>646</v>
      </c>
    </row>
    <row r="9" spans="1:16">
      <c r="A9" t="s">
        <v>40</v>
      </c>
      <c r="B9" s="1" t="s">
        <v>41</v>
      </c>
      <c r="C9" t="s">
        <v>34</v>
      </c>
      <c r="D9" t="s">
        <v>343</v>
      </c>
      <c r="E9" t="s">
        <v>43</v>
      </c>
      <c r="F9" t="s">
        <v>344</v>
      </c>
      <c r="G9">
        <v>1</v>
      </c>
      <c r="H9">
        <v>0.33300000000000002</v>
      </c>
      <c r="I9">
        <f t="shared" si="0"/>
        <v>0.4996249062265567</v>
      </c>
      <c r="J9">
        <v>0.5</v>
      </c>
      <c r="K9">
        <v>1</v>
      </c>
      <c r="L9">
        <v>552</v>
      </c>
      <c r="M9">
        <f t="shared" si="1"/>
        <v>0.66700000000000004</v>
      </c>
      <c r="O9" s="2">
        <f>_xlfn.STDEV.P(L2:L94)</f>
        <v>59.182676528387148</v>
      </c>
    </row>
    <row r="10" spans="1:16">
      <c r="A10" t="s">
        <v>45</v>
      </c>
      <c r="B10" s="1" t="s">
        <v>46</v>
      </c>
      <c r="C10" t="s">
        <v>47</v>
      </c>
      <c r="D10" t="s">
        <v>48</v>
      </c>
      <c r="E10" t="s">
        <v>49</v>
      </c>
      <c r="F10" t="s">
        <v>50</v>
      </c>
      <c r="G10">
        <v>0.5</v>
      </c>
      <c r="H10">
        <v>0.5</v>
      </c>
      <c r="I10">
        <f t="shared" si="0"/>
        <v>0.5</v>
      </c>
      <c r="J10">
        <v>0.66700000000000004</v>
      </c>
      <c r="K10">
        <v>1</v>
      </c>
      <c r="L10">
        <v>649</v>
      </c>
      <c r="M10">
        <f t="shared" si="1"/>
        <v>0.8</v>
      </c>
    </row>
    <row r="11" spans="1:16">
      <c r="A11" t="s">
        <v>51</v>
      </c>
      <c r="B11" s="1" t="s">
        <v>52</v>
      </c>
      <c r="C11" t="s">
        <v>53</v>
      </c>
      <c r="D11" t="s">
        <v>345</v>
      </c>
      <c r="E11" t="s">
        <v>346</v>
      </c>
      <c r="F11" t="s">
        <v>337</v>
      </c>
      <c r="G11">
        <v>1</v>
      </c>
      <c r="H11">
        <v>1</v>
      </c>
      <c r="I11">
        <f t="shared" si="0"/>
        <v>1</v>
      </c>
      <c r="J11">
        <v>0.57099999999999995</v>
      </c>
      <c r="K11">
        <v>0.66700000000000004</v>
      </c>
      <c r="L11">
        <v>607</v>
      </c>
      <c r="M11">
        <f t="shared" si="1"/>
        <v>0.61499999999999999</v>
      </c>
    </row>
    <row r="12" spans="1:16">
      <c r="A12" t="s">
        <v>56</v>
      </c>
      <c r="B12" s="1" t="s">
        <v>46</v>
      </c>
      <c r="C12" t="s">
        <v>47</v>
      </c>
      <c r="D12" t="s">
        <v>127</v>
      </c>
      <c r="E12" t="s">
        <v>347</v>
      </c>
      <c r="F12" t="s">
        <v>50</v>
      </c>
      <c r="G12">
        <v>0.5</v>
      </c>
      <c r="H12">
        <v>0.5</v>
      </c>
      <c r="I12">
        <f t="shared" si="0"/>
        <v>0.5</v>
      </c>
      <c r="J12">
        <v>0.66700000000000004</v>
      </c>
      <c r="K12">
        <v>1</v>
      </c>
      <c r="L12">
        <v>657</v>
      </c>
      <c r="M12">
        <f t="shared" si="1"/>
        <v>0.8</v>
      </c>
    </row>
    <row r="13" spans="1:16">
      <c r="A13" t="s">
        <v>59</v>
      </c>
      <c r="B13" s="1" t="s">
        <v>19</v>
      </c>
      <c r="C13" t="s">
        <v>60</v>
      </c>
      <c r="D13" t="s">
        <v>3</v>
      </c>
      <c r="E13" t="s">
        <v>4</v>
      </c>
      <c r="F13" t="s">
        <v>335</v>
      </c>
      <c r="G13">
        <v>0</v>
      </c>
      <c r="H13">
        <v>0</v>
      </c>
      <c r="I13">
        <f t="shared" si="0"/>
        <v>0</v>
      </c>
      <c r="J13">
        <v>0</v>
      </c>
      <c r="K13">
        <v>0</v>
      </c>
      <c r="L13">
        <v>518</v>
      </c>
      <c r="M13">
        <f t="shared" si="1"/>
        <v>0</v>
      </c>
    </row>
    <row r="14" spans="1:16">
      <c r="A14" t="s">
        <v>63</v>
      </c>
      <c r="B14" s="1" t="s">
        <v>61</v>
      </c>
      <c r="C14" t="s">
        <v>64</v>
      </c>
      <c r="D14" t="s">
        <v>108</v>
      </c>
      <c r="E14" t="s">
        <v>172</v>
      </c>
      <c r="F14" t="s">
        <v>50</v>
      </c>
      <c r="G14">
        <v>0</v>
      </c>
      <c r="H14">
        <v>0</v>
      </c>
      <c r="I14">
        <f t="shared" si="0"/>
        <v>0</v>
      </c>
      <c r="J14">
        <v>1</v>
      </c>
      <c r="K14">
        <v>0.4</v>
      </c>
      <c r="L14">
        <v>558</v>
      </c>
      <c r="M14">
        <f t="shared" si="1"/>
        <v>0.57099999999999995</v>
      </c>
    </row>
    <row r="15" spans="1:16">
      <c r="A15" t="s">
        <v>66</v>
      </c>
      <c r="B15" s="1" t="s">
        <v>67</v>
      </c>
      <c r="C15" t="s">
        <v>8</v>
      </c>
      <c r="D15" t="s">
        <v>67</v>
      </c>
      <c r="E15" t="s">
        <v>260</v>
      </c>
      <c r="F15" t="s">
        <v>337</v>
      </c>
      <c r="G15">
        <v>1</v>
      </c>
      <c r="H15">
        <v>1</v>
      </c>
      <c r="I15">
        <f t="shared" si="0"/>
        <v>1</v>
      </c>
      <c r="J15">
        <v>0.8</v>
      </c>
      <c r="K15">
        <v>0.8</v>
      </c>
      <c r="L15">
        <v>613</v>
      </c>
      <c r="M15">
        <f t="shared" si="1"/>
        <v>0.8</v>
      </c>
    </row>
    <row r="16" spans="1:16">
      <c r="A16" t="s">
        <v>70</v>
      </c>
      <c r="B16" s="1" t="s">
        <v>71</v>
      </c>
      <c r="C16" t="s">
        <v>72</v>
      </c>
      <c r="D16" t="s">
        <v>71</v>
      </c>
      <c r="E16" t="s">
        <v>348</v>
      </c>
      <c r="F16" t="s">
        <v>23</v>
      </c>
      <c r="G16">
        <v>1</v>
      </c>
      <c r="H16">
        <v>1</v>
      </c>
      <c r="I16">
        <f t="shared" si="0"/>
        <v>1</v>
      </c>
      <c r="J16">
        <v>0</v>
      </c>
      <c r="K16">
        <v>0</v>
      </c>
      <c r="L16">
        <v>623</v>
      </c>
      <c r="M16">
        <f t="shared" si="1"/>
        <v>0</v>
      </c>
    </row>
    <row r="17" spans="1:13">
      <c r="A17" t="s">
        <v>75</v>
      </c>
      <c r="B17" s="1" t="s">
        <v>19</v>
      </c>
      <c r="C17" t="s">
        <v>76</v>
      </c>
      <c r="D17" t="s">
        <v>171</v>
      </c>
      <c r="E17" t="s">
        <v>338</v>
      </c>
      <c r="F17" t="s">
        <v>339</v>
      </c>
      <c r="G17">
        <v>0.5</v>
      </c>
      <c r="H17">
        <v>0.5</v>
      </c>
      <c r="I17">
        <f t="shared" si="0"/>
        <v>0.5</v>
      </c>
      <c r="J17">
        <v>0</v>
      </c>
      <c r="K17">
        <v>0</v>
      </c>
      <c r="L17">
        <v>659</v>
      </c>
      <c r="M17">
        <f t="shared" si="1"/>
        <v>0</v>
      </c>
    </row>
    <row r="18" spans="1:13">
      <c r="A18" t="s">
        <v>79</v>
      </c>
      <c r="B18" s="1" t="s">
        <v>19</v>
      </c>
      <c r="C18" t="s">
        <v>80</v>
      </c>
      <c r="D18" t="s">
        <v>320</v>
      </c>
      <c r="E18" t="s">
        <v>349</v>
      </c>
      <c r="F18" t="s">
        <v>339</v>
      </c>
      <c r="G18">
        <v>0.66700000000000004</v>
      </c>
      <c r="H18">
        <v>1</v>
      </c>
      <c r="I18">
        <f t="shared" si="0"/>
        <v>0.80023995200959808</v>
      </c>
      <c r="J18">
        <v>0.25</v>
      </c>
      <c r="K18">
        <v>1</v>
      </c>
      <c r="L18">
        <v>739</v>
      </c>
      <c r="M18">
        <f t="shared" si="1"/>
        <v>0.4</v>
      </c>
    </row>
    <row r="19" spans="1:13">
      <c r="A19" t="s">
        <v>84</v>
      </c>
      <c r="B19" s="1" t="s">
        <v>85</v>
      </c>
      <c r="C19" t="s">
        <v>86</v>
      </c>
      <c r="D19" t="s">
        <v>135</v>
      </c>
      <c r="E19" t="s">
        <v>350</v>
      </c>
      <c r="F19" t="s">
        <v>337</v>
      </c>
      <c r="G19">
        <v>0.5</v>
      </c>
      <c r="H19">
        <v>0.33300000000000002</v>
      </c>
      <c r="I19">
        <f t="shared" si="0"/>
        <v>0.39975990396158467</v>
      </c>
      <c r="J19">
        <v>0.75</v>
      </c>
      <c r="K19">
        <v>0.75</v>
      </c>
      <c r="L19">
        <v>590</v>
      </c>
      <c r="M19">
        <f t="shared" si="1"/>
        <v>0.75</v>
      </c>
    </row>
    <row r="20" spans="1:13">
      <c r="A20" t="s">
        <v>88</v>
      </c>
      <c r="B20" s="1" t="s">
        <v>655</v>
      </c>
      <c r="C20" t="s">
        <v>38</v>
      </c>
      <c r="D20" t="s">
        <v>37</v>
      </c>
      <c r="E20" t="s">
        <v>89</v>
      </c>
      <c r="F20" t="s">
        <v>351</v>
      </c>
      <c r="G20">
        <v>1</v>
      </c>
      <c r="H20">
        <v>0.5</v>
      </c>
      <c r="I20">
        <f t="shared" si="0"/>
        <v>0.66666666666666663</v>
      </c>
      <c r="J20">
        <v>0.5</v>
      </c>
      <c r="K20">
        <v>0.5</v>
      </c>
      <c r="L20">
        <v>536</v>
      </c>
      <c r="M20">
        <f t="shared" si="1"/>
        <v>0.5</v>
      </c>
    </row>
    <row r="21" spans="1:13">
      <c r="A21" t="s">
        <v>90</v>
      </c>
      <c r="B21" s="1" t="s">
        <v>91</v>
      </c>
      <c r="C21" t="s">
        <v>92</v>
      </c>
      <c r="D21" t="s">
        <v>91</v>
      </c>
      <c r="E21" t="s">
        <v>93</v>
      </c>
      <c r="F21" t="s">
        <v>344</v>
      </c>
      <c r="G21">
        <v>1</v>
      </c>
      <c r="H21">
        <v>1</v>
      </c>
      <c r="I21">
        <f t="shared" si="0"/>
        <v>1</v>
      </c>
      <c r="J21">
        <v>1</v>
      </c>
      <c r="K21">
        <v>1</v>
      </c>
      <c r="L21">
        <v>543</v>
      </c>
      <c r="M21">
        <f t="shared" si="1"/>
        <v>1</v>
      </c>
    </row>
    <row r="22" spans="1:13">
      <c r="A22" t="s">
        <v>94</v>
      </c>
      <c r="B22" s="1" t="s">
        <v>95</v>
      </c>
      <c r="C22" t="s">
        <v>96</v>
      </c>
      <c r="D22" t="s">
        <v>3</v>
      </c>
      <c r="E22" t="s">
        <v>97</v>
      </c>
      <c r="F22" t="s">
        <v>35</v>
      </c>
      <c r="G22">
        <v>1</v>
      </c>
      <c r="H22">
        <v>0.33300000000000002</v>
      </c>
      <c r="I22">
        <f t="shared" si="0"/>
        <v>0.4996249062265567</v>
      </c>
      <c r="J22">
        <v>1</v>
      </c>
      <c r="K22">
        <v>0.25</v>
      </c>
      <c r="L22">
        <v>529</v>
      </c>
      <c r="M22">
        <f t="shared" si="1"/>
        <v>0.4</v>
      </c>
    </row>
    <row r="23" spans="1:13">
      <c r="A23" t="s">
        <v>98</v>
      </c>
      <c r="B23" s="1" t="s">
        <v>61</v>
      </c>
      <c r="C23" t="s">
        <v>99</v>
      </c>
      <c r="D23" t="s">
        <v>147</v>
      </c>
      <c r="E23" t="s">
        <v>352</v>
      </c>
      <c r="F23" t="s">
        <v>337</v>
      </c>
      <c r="G23">
        <v>0.5</v>
      </c>
      <c r="H23">
        <v>1</v>
      </c>
      <c r="I23">
        <f t="shared" si="0"/>
        <v>0.66666666666666663</v>
      </c>
      <c r="J23">
        <v>0.25</v>
      </c>
      <c r="K23">
        <v>0.5</v>
      </c>
      <c r="L23">
        <v>636</v>
      </c>
      <c r="M23">
        <f t="shared" si="1"/>
        <v>0.33300000000000002</v>
      </c>
    </row>
    <row r="24" spans="1:13">
      <c r="A24" t="s">
        <v>102</v>
      </c>
      <c r="B24" s="1" t="s">
        <v>19</v>
      </c>
      <c r="C24" t="s">
        <v>103</v>
      </c>
      <c r="D24" t="s">
        <v>108</v>
      </c>
      <c r="E24" t="s">
        <v>172</v>
      </c>
      <c r="F24" t="s">
        <v>50</v>
      </c>
      <c r="G24">
        <v>0</v>
      </c>
      <c r="H24">
        <v>0</v>
      </c>
      <c r="I24">
        <f t="shared" si="0"/>
        <v>0</v>
      </c>
      <c r="J24">
        <v>0</v>
      </c>
      <c r="K24">
        <v>0</v>
      </c>
      <c r="L24">
        <v>560</v>
      </c>
      <c r="M24">
        <f t="shared" si="1"/>
        <v>0</v>
      </c>
    </row>
    <row r="25" spans="1:13">
      <c r="A25" t="s">
        <v>105</v>
      </c>
      <c r="B25" s="1" t="s">
        <v>106</v>
      </c>
      <c r="C25" t="s">
        <v>107</v>
      </c>
      <c r="D25" t="s">
        <v>127</v>
      </c>
      <c r="E25" t="s">
        <v>338</v>
      </c>
      <c r="F25" t="s">
        <v>339</v>
      </c>
      <c r="G25">
        <v>1</v>
      </c>
      <c r="H25">
        <v>0.66700000000000004</v>
      </c>
      <c r="I25">
        <f t="shared" si="0"/>
        <v>0.80023995200959808</v>
      </c>
      <c r="J25">
        <v>0.33300000000000002</v>
      </c>
      <c r="K25">
        <v>0.16700000000000001</v>
      </c>
      <c r="L25">
        <v>663</v>
      </c>
      <c r="M25">
        <f t="shared" si="1"/>
        <v>0.222</v>
      </c>
    </row>
    <row r="26" spans="1:13">
      <c r="A26" t="s">
        <v>110</v>
      </c>
      <c r="B26" s="1" t="s">
        <v>19</v>
      </c>
      <c r="C26" t="s">
        <v>47</v>
      </c>
      <c r="D26" t="s">
        <v>305</v>
      </c>
      <c r="E26" t="s">
        <v>353</v>
      </c>
      <c r="F26" t="s">
        <v>337</v>
      </c>
      <c r="G26">
        <v>0.5</v>
      </c>
      <c r="H26">
        <v>0.5</v>
      </c>
      <c r="I26">
        <f t="shared" si="0"/>
        <v>0.5</v>
      </c>
      <c r="J26">
        <v>0.33300000000000002</v>
      </c>
      <c r="K26">
        <v>1</v>
      </c>
      <c r="L26">
        <v>664</v>
      </c>
      <c r="M26">
        <f t="shared" si="1"/>
        <v>0.5</v>
      </c>
    </row>
    <row r="27" spans="1:13">
      <c r="A27" t="s">
        <v>112</v>
      </c>
      <c r="B27" s="1" t="s">
        <v>113</v>
      </c>
      <c r="C27" t="s">
        <v>114</v>
      </c>
      <c r="D27" t="s">
        <v>113</v>
      </c>
      <c r="E27" t="s">
        <v>211</v>
      </c>
      <c r="F27" t="s">
        <v>354</v>
      </c>
      <c r="G27">
        <v>1</v>
      </c>
      <c r="H27">
        <v>1</v>
      </c>
      <c r="I27">
        <f t="shared" si="0"/>
        <v>1</v>
      </c>
      <c r="J27">
        <v>1</v>
      </c>
      <c r="K27">
        <v>0.75</v>
      </c>
      <c r="L27">
        <v>555</v>
      </c>
      <c r="M27">
        <f t="shared" si="1"/>
        <v>0.85699999999999998</v>
      </c>
    </row>
    <row r="28" spans="1:13">
      <c r="A28" t="s">
        <v>117</v>
      </c>
      <c r="B28" s="1" t="s">
        <v>61</v>
      </c>
      <c r="C28" t="s">
        <v>118</v>
      </c>
      <c r="D28" t="s">
        <v>108</v>
      </c>
      <c r="E28" t="s">
        <v>128</v>
      </c>
      <c r="F28" t="s">
        <v>337</v>
      </c>
      <c r="G28">
        <v>0</v>
      </c>
      <c r="H28">
        <v>0</v>
      </c>
      <c r="I28">
        <f t="shared" si="0"/>
        <v>0</v>
      </c>
      <c r="J28">
        <v>0</v>
      </c>
      <c r="K28">
        <v>0</v>
      </c>
      <c r="L28">
        <v>558</v>
      </c>
      <c r="M28">
        <f t="shared" si="1"/>
        <v>0</v>
      </c>
    </row>
    <row r="29" spans="1:13">
      <c r="A29" t="s">
        <v>120</v>
      </c>
      <c r="B29" s="1" t="s">
        <v>61</v>
      </c>
      <c r="C29" t="s">
        <v>121</v>
      </c>
      <c r="D29" t="s">
        <v>355</v>
      </c>
      <c r="E29" t="s">
        <v>356</v>
      </c>
      <c r="F29" t="s">
        <v>357</v>
      </c>
      <c r="G29">
        <v>0</v>
      </c>
      <c r="H29">
        <v>0</v>
      </c>
      <c r="I29">
        <f t="shared" si="0"/>
        <v>0</v>
      </c>
      <c r="J29">
        <v>0.5</v>
      </c>
      <c r="K29">
        <v>0.66700000000000004</v>
      </c>
      <c r="L29">
        <v>695</v>
      </c>
      <c r="M29">
        <f t="shared" si="1"/>
        <v>0.57199999999999995</v>
      </c>
    </row>
    <row r="30" spans="1:13">
      <c r="A30" t="s">
        <v>123</v>
      </c>
      <c r="B30" s="1" t="s">
        <v>124</v>
      </c>
      <c r="C30" t="s">
        <v>49</v>
      </c>
      <c r="D30" t="s">
        <v>108</v>
      </c>
      <c r="E30" t="s">
        <v>172</v>
      </c>
      <c r="F30" t="s">
        <v>50</v>
      </c>
      <c r="G30">
        <v>1</v>
      </c>
      <c r="H30">
        <v>0.33300000000000002</v>
      </c>
      <c r="I30">
        <f t="shared" si="0"/>
        <v>0.4996249062265567</v>
      </c>
      <c r="J30">
        <v>1</v>
      </c>
      <c r="K30">
        <v>0.66700000000000004</v>
      </c>
      <c r="L30">
        <v>556</v>
      </c>
      <c r="M30">
        <f t="shared" si="1"/>
        <v>0.8</v>
      </c>
    </row>
    <row r="31" spans="1:13">
      <c r="A31" t="s">
        <v>125</v>
      </c>
      <c r="B31" s="1" t="s">
        <v>124</v>
      </c>
      <c r="C31" t="s">
        <v>126</v>
      </c>
      <c r="D31" t="s">
        <v>127</v>
      </c>
      <c r="E31" t="s">
        <v>128</v>
      </c>
      <c r="F31" t="s">
        <v>337</v>
      </c>
      <c r="G31">
        <v>1</v>
      </c>
      <c r="H31">
        <v>0.66700000000000004</v>
      </c>
      <c r="I31">
        <f t="shared" si="0"/>
        <v>0.80023995200959808</v>
      </c>
      <c r="J31">
        <v>0</v>
      </c>
      <c r="K31">
        <v>0</v>
      </c>
      <c r="L31">
        <v>653</v>
      </c>
      <c r="M31">
        <f t="shared" si="1"/>
        <v>0</v>
      </c>
    </row>
    <row r="32" spans="1:13">
      <c r="A32" t="s">
        <v>129</v>
      </c>
      <c r="B32" s="1" t="s">
        <v>130</v>
      </c>
      <c r="C32" t="s">
        <v>131</v>
      </c>
      <c r="D32" t="s">
        <v>263</v>
      </c>
      <c r="E32" t="s">
        <v>358</v>
      </c>
      <c r="F32" t="s">
        <v>351</v>
      </c>
      <c r="G32">
        <v>1</v>
      </c>
      <c r="H32">
        <v>0.33300000000000002</v>
      </c>
      <c r="I32">
        <f t="shared" si="0"/>
        <v>0.4996249062265567</v>
      </c>
      <c r="J32">
        <v>0.5</v>
      </c>
      <c r="K32">
        <v>0.4</v>
      </c>
      <c r="L32">
        <v>604</v>
      </c>
      <c r="M32">
        <f t="shared" si="1"/>
        <v>0.44400000000000001</v>
      </c>
    </row>
    <row r="33" spans="1:13">
      <c r="A33" s="3" t="s">
        <v>133</v>
      </c>
      <c r="B33" s="1" t="s">
        <v>115</v>
      </c>
      <c r="C33" t="s">
        <v>134</v>
      </c>
      <c r="D33" t="s">
        <v>135</v>
      </c>
      <c r="E33" t="s">
        <v>136</v>
      </c>
      <c r="F33" t="s">
        <v>337</v>
      </c>
      <c r="G33">
        <v>0.5</v>
      </c>
      <c r="H33">
        <v>0.5</v>
      </c>
      <c r="I33">
        <f t="shared" si="0"/>
        <v>0.5</v>
      </c>
      <c r="J33">
        <v>0.75</v>
      </c>
      <c r="K33">
        <v>0.6</v>
      </c>
      <c r="L33">
        <v>584</v>
      </c>
      <c r="M33">
        <f t="shared" si="1"/>
        <v>0.66700000000000004</v>
      </c>
    </row>
    <row r="34" spans="1:13">
      <c r="A34" t="s">
        <v>137</v>
      </c>
      <c r="B34" s="1" t="s">
        <v>91</v>
      </c>
      <c r="C34" t="s">
        <v>138</v>
      </c>
      <c r="D34" t="s">
        <v>91</v>
      </c>
      <c r="E34" t="s">
        <v>139</v>
      </c>
      <c r="F34" t="s">
        <v>344</v>
      </c>
      <c r="G34">
        <v>1</v>
      </c>
      <c r="H34">
        <v>1</v>
      </c>
      <c r="I34">
        <f t="shared" ref="I34:I65" si="2">IF(G34+H34=0,0,2*G34*H34/(G34+H34))</f>
        <v>1</v>
      </c>
      <c r="J34">
        <v>0.375</v>
      </c>
      <c r="K34">
        <v>0.6</v>
      </c>
      <c r="L34">
        <v>552</v>
      </c>
      <c r="M34">
        <f t="shared" ref="M34:M65" si="3">IF(J34+K34=0,0,ROUND(2*J34*K34/(J34+K34),3))</f>
        <v>0.46200000000000002</v>
      </c>
    </row>
    <row r="35" spans="1:13">
      <c r="A35" t="s">
        <v>140</v>
      </c>
      <c r="B35" s="1" t="s">
        <v>7</v>
      </c>
      <c r="C35" t="s">
        <v>141</v>
      </c>
      <c r="D35" t="s">
        <v>113</v>
      </c>
      <c r="E35" t="s">
        <v>359</v>
      </c>
      <c r="F35" t="s">
        <v>337</v>
      </c>
      <c r="G35">
        <v>1</v>
      </c>
      <c r="H35">
        <v>0.5</v>
      </c>
      <c r="I35">
        <f t="shared" si="2"/>
        <v>0.66666666666666663</v>
      </c>
      <c r="J35">
        <v>1</v>
      </c>
      <c r="K35">
        <v>0.66700000000000004</v>
      </c>
      <c r="L35">
        <v>560</v>
      </c>
      <c r="M35">
        <f t="shared" si="3"/>
        <v>0.8</v>
      </c>
    </row>
    <row r="36" spans="1:13">
      <c r="A36" t="s">
        <v>143</v>
      </c>
      <c r="B36" s="1" t="s">
        <v>3</v>
      </c>
      <c r="C36" t="s">
        <v>97</v>
      </c>
      <c r="D36" t="s">
        <v>3</v>
      </c>
      <c r="E36" t="s">
        <v>97</v>
      </c>
      <c r="F36" t="s">
        <v>35</v>
      </c>
      <c r="G36">
        <v>1</v>
      </c>
      <c r="H36">
        <v>1</v>
      </c>
      <c r="I36">
        <f t="shared" si="2"/>
        <v>1</v>
      </c>
      <c r="J36">
        <v>1</v>
      </c>
      <c r="K36">
        <v>1</v>
      </c>
      <c r="L36">
        <v>515</v>
      </c>
      <c r="M36">
        <f t="shared" si="3"/>
        <v>1</v>
      </c>
    </row>
    <row r="37" spans="1:13">
      <c r="A37" t="s">
        <v>144</v>
      </c>
      <c r="B37" s="1" t="s">
        <v>145</v>
      </c>
      <c r="C37" t="s">
        <v>146</v>
      </c>
      <c r="D37" t="s">
        <v>1</v>
      </c>
      <c r="E37" t="s">
        <v>360</v>
      </c>
      <c r="F37" t="s">
        <v>23</v>
      </c>
      <c r="G37">
        <v>0.5</v>
      </c>
      <c r="H37">
        <v>0.5</v>
      </c>
      <c r="I37">
        <f t="shared" si="2"/>
        <v>0.5</v>
      </c>
      <c r="J37">
        <v>0.5</v>
      </c>
      <c r="K37">
        <v>0.5</v>
      </c>
      <c r="L37">
        <v>618</v>
      </c>
      <c r="M37">
        <f t="shared" si="3"/>
        <v>0.5</v>
      </c>
    </row>
    <row r="38" spans="1:13">
      <c r="A38" t="s">
        <v>149</v>
      </c>
      <c r="B38" s="1" t="s">
        <v>61</v>
      </c>
      <c r="C38" t="s">
        <v>150</v>
      </c>
      <c r="D38" t="s">
        <v>108</v>
      </c>
      <c r="E38" t="s">
        <v>172</v>
      </c>
      <c r="F38" t="s">
        <v>50</v>
      </c>
      <c r="G38">
        <v>0</v>
      </c>
      <c r="H38">
        <v>0</v>
      </c>
      <c r="I38">
        <f t="shared" si="2"/>
        <v>0</v>
      </c>
      <c r="J38">
        <v>1</v>
      </c>
      <c r="K38">
        <v>0.66700000000000004</v>
      </c>
      <c r="L38">
        <v>558</v>
      </c>
      <c r="M38">
        <f t="shared" si="3"/>
        <v>0.8</v>
      </c>
    </row>
    <row r="39" spans="1:13">
      <c r="A39" t="s">
        <v>152</v>
      </c>
      <c r="B39" s="1" t="s">
        <v>153</v>
      </c>
      <c r="C39" t="s">
        <v>154</v>
      </c>
      <c r="D39" t="s">
        <v>54</v>
      </c>
      <c r="E39" t="s">
        <v>155</v>
      </c>
      <c r="F39" t="s">
        <v>341</v>
      </c>
      <c r="G39">
        <v>1</v>
      </c>
      <c r="H39">
        <v>0.5</v>
      </c>
      <c r="I39">
        <f t="shared" si="2"/>
        <v>0.66666666666666663</v>
      </c>
      <c r="J39">
        <v>0.5</v>
      </c>
      <c r="K39">
        <v>0.66700000000000004</v>
      </c>
      <c r="L39">
        <v>534</v>
      </c>
      <c r="M39">
        <f t="shared" si="3"/>
        <v>0.57199999999999995</v>
      </c>
    </row>
    <row r="40" spans="1:13">
      <c r="A40" t="s">
        <v>156</v>
      </c>
      <c r="B40" s="1" t="s">
        <v>157</v>
      </c>
      <c r="C40" t="s">
        <v>158</v>
      </c>
      <c r="D40" t="s">
        <v>361</v>
      </c>
      <c r="E40" t="s">
        <v>362</v>
      </c>
      <c r="F40" t="s">
        <v>337</v>
      </c>
      <c r="G40">
        <v>0</v>
      </c>
      <c r="H40">
        <v>0</v>
      </c>
      <c r="I40">
        <f t="shared" si="2"/>
        <v>0</v>
      </c>
      <c r="J40">
        <v>0</v>
      </c>
      <c r="K40">
        <v>0</v>
      </c>
      <c r="L40">
        <v>518</v>
      </c>
      <c r="M40">
        <f t="shared" si="3"/>
        <v>0</v>
      </c>
    </row>
    <row r="41" spans="1:13">
      <c r="A41" t="s">
        <v>161</v>
      </c>
      <c r="B41" s="1" t="s">
        <v>7</v>
      </c>
      <c r="C41" t="s">
        <v>162</v>
      </c>
      <c r="D41" t="s">
        <v>67</v>
      </c>
      <c r="E41" t="s">
        <v>68</v>
      </c>
      <c r="F41" t="s">
        <v>337</v>
      </c>
      <c r="G41">
        <v>1</v>
      </c>
      <c r="H41">
        <v>1</v>
      </c>
      <c r="I41">
        <f t="shared" si="2"/>
        <v>1</v>
      </c>
      <c r="J41">
        <v>0.75</v>
      </c>
      <c r="K41">
        <v>0.75</v>
      </c>
      <c r="L41">
        <v>611</v>
      </c>
      <c r="M41">
        <f t="shared" si="3"/>
        <v>0.75</v>
      </c>
    </row>
    <row r="42" spans="1:13">
      <c r="A42" t="s">
        <v>164</v>
      </c>
      <c r="B42" s="1" t="s">
        <v>165</v>
      </c>
      <c r="C42" t="s">
        <v>166</v>
      </c>
      <c r="D42" t="s">
        <v>363</v>
      </c>
      <c r="E42" t="s">
        <v>364</v>
      </c>
      <c r="G42">
        <v>0.5</v>
      </c>
      <c r="H42">
        <v>0.33300000000000002</v>
      </c>
      <c r="I42">
        <f t="shared" si="2"/>
        <v>0.39975990396158467</v>
      </c>
      <c r="J42">
        <v>0</v>
      </c>
      <c r="K42">
        <v>0</v>
      </c>
      <c r="L42">
        <v>545</v>
      </c>
      <c r="M42">
        <f t="shared" si="3"/>
        <v>0</v>
      </c>
    </row>
    <row r="43" spans="1:13">
      <c r="A43" t="s">
        <v>169</v>
      </c>
      <c r="B43" s="1" t="s">
        <v>48</v>
      </c>
      <c r="C43" t="s">
        <v>170</v>
      </c>
      <c r="D43" t="s">
        <v>108</v>
      </c>
      <c r="E43" t="s">
        <v>109</v>
      </c>
      <c r="F43" t="s">
        <v>337</v>
      </c>
      <c r="G43">
        <v>1</v>
      </c>
      <c r="H43">
        <v>0.5</v>
      </c>
      <c r="I43">
        <f t="shared" si="2"/>
        <v>0.66666666666666663</v>
      </c>
      <c r="J43">
        <v>0.66700000000000004</v>
      </c>
      <c r="K43">
        <v>0.4</v>
      </c>
      <c r="L43">
        <v>561</v>
      </c>
      <c r="M43">
        <f t="shared" si="3"/>
        <v>0.5</v>
      </c>
    </row>
    <row r="44" spans="1:13">
      <c r="A44" t="s">
        <v>173</v>
      </c>
      <c r="B44" s="1" t="s">
        <v>19</v>
      </c>
      <c r="C44" t="s">
        <v>174</v>
      </c>
      <c r="D44" t="s">
        <v>54</v>
      </c>
      <c r="E44" t="s">
        <v>365</v>
      </c>
      <c r="G44">
        <v>0</v>
      </c>
      <c r="H44">
        <v>0</v>
      </c>
      <c r="I44">
        <f t="shared" si="2"/>
        <v>0</v>
      </c>
      <c r="J44">
        <v>0</v>
      </c>
      <c r="K44">
        <v>0</v>
      </c>
      <c r="L44">
        <v>610</v>
      </c>
      <c r="M44">
        <f t="shared" si="3"/>
        <v>0</v>
      </c>
    </row>
    <row r="45" spans="1:13">
      <c r="A45" t="s">
        <v>177</v>
      </c>
      <c r="B45" s="1" t="s">
        <v>178</v>
      </c>
      <c r="C45" t="s">
        <v>92</v>
      </c>
      <c r="D45" t="s">
        <v>91</v>
      </c>
      <c r="E45" t="s">
        <v>179</v>
      </c>
      <c r="F45" t="s">
        <v>351</v>
      </c>
      <c r="G45">
        <v>1</v>
      </c>
      <c r="H45">
        <v>0.5</v>
      </c>
      <c r="I45">
        <f t="shared" si="2"/>
        <v>0.66666666666666663</v>
      </c>
      <c r="J45">
        <v>1</v>
      </c>
      <c r="K45">
        <v>0.6</v>
      </c>
      <c r="L45">
        <v>536</v>
      </c>
      <c r="M45">
        <f t="shared" si="3"/>
        <v>0.75</v>
      </c>
    </row>
    <row r="46" spans="1:13">
      <c r="A46" t="s">
        <v>180</v>
      </c>
      <c r="B46" s="1" t="s">
        <v>61</v>
      </c>
      <c r="C46" t="s">
        <v>49</v>
      </c>
      <c r="D46" t="s">
        <v>108</v>
      </c>
      <c r="E46" t="s">
        <v>172</v>
      </c>
      <c r="F46" t="s">
        <v>50</v>
      </c>
      <c r="G46">
        <v>0</v>
      </c>
      <c r="H46">
        <v>0</v>
      </c>
      <c r="I46">
        <f t="shared" si="2"/>
        <v>0</v>
      </c>
      <c r="J46">
        <v>1</v>
      </c>
      <c r="K46">
        <v>0.66700000000000004</v>
      </c>
      <c r="L46">
        <v>562</v>
      </c>
      <c r="M46">
        <f t="shared" si="3"/>
        <v>0.8</v>
      </c>
    </row>
    <row r="47" spans="1:13">
      <c r="A47" t="s">
        <v>182</v>
      </c>
      <c r="B47" s="1" t="s">
        <v>183</v>
      </c>
      <c r="C47" t="s">
        <v>184</v>
      </c>
      <c r="D47" t="s">
        <v>277</v>
      </c>
      <c r="E47" t="s">
        <v>366</v>
      </c>
      <c r="F47" t="s">
        <v>341</v>
      </c>
      <c r="G47">
        <v>1</v>
      </c>
      <c r="H47">
        <v>0.5</v>
      </c>
      <c r="I47">
        <f t="shared" si="2"/>
        <v>0.66666666666666663</v>
      </c>
      <c r="J47">
        <v>1</v>
      </c>
      <c r="K47">
        <v>0.75</v>
      </c>
      <c r="L47">
        <v>527</v>
      </c>
      <c r="M47">
        <f t="shared" si="3"/>
        <v>0.85699999999999998</v>
      </c>
    </row>
    <row r="48" spans="1:13">
      <c r="A48" t="s">
        <v>186</v>
      </c>
      <c r="B48" s="1" t="s">
        <v>61</v>
      </c>
      <c r="C48" t="s">
        <v>187</v>
      </c>
      <c r="D48" t="s">
        <v>367</v>
      </c>
      <c r="E48" t="s">
        <v>55</v>
      </c>
      <c r="F48" t="s">
        <v>341</v>
      </c>
      <c r="G48">
        <v>0</v>
      </c>
      <c r="H48">
        <v>0</v>
      </c>
      <c r="I48">
        <f t="shared" si="2"/>
        <v>0</v>
      </c>
      <c r="J48">
        <v>0</v>
      </c>
      <c r="K48">
        <v>0</v>
      </c>
      <c r="L48">
        <v>551</v>
      </c>
      <c r="M48">
        <f t="shared" si="3"/>
        <v>0</v>
      </c>
    </row>
    <row r="49" spans="1:13">
      <c r="A49" t="s">
        <v>188</v>
      </c>
      <c r="B49" s="1" t="s">
        <v>48</v>
      </c>
      <c r="C49" t="s">
        <v>189</v>
      </c>
      <c r="D49" t="s">
        <v>127</v>
      </c>
      <c r="E49" t="s">
        <v>347</v>
      </c>
      <c r="F49" t="s">
        <v>50</v>
      </c>
      <c r="G49">
        <v>0.5</v>
      </c>
      <c r="H49">
        <v>0.5</v>
      </c>
      <c r="I49">
        <f t="shared" si="2"/>
        <v>0.5</v>
      </c>
      <c r="J49">
        <v>1</v>
      </c>
      <c r="K49">
        <v>0.75</v>
      </c>
      <c r="L49">
        <v>657</v>
      </c>
      <c r="M49">
        <f t="shared" si="3"/>
        <v>0.85699999999999998</v>
      </c>
    </row>
    <row r="50" spans="1:13">
      <c r="A50" t="s">
        <v>192</v>
      </c>
      <c r="B50" s="1" t="s">
        <v>157</v>
      </c>
      <c r="C50" t="s">
        <v>193</v>
      </c>
      <c r="D50" t="s">
        <v>157</v>
      </c>
      <c r="E50" t="s">
        <v>368</v>
      </c>
      <c r="F50" t="s">
        <v>337</v>
      </c>
      <c r="G50">
        <v>1</v>
      </c>
      <c r="H50">
        <v>1</v>
      </c>
      <c r="I50">
        <f t="shared" si="2"/>
        <v>1</v>
      </c>
      <c r="J50">
        <v>1</v>
      </c>
      <c r="K50">
        <v>1</v>
      </c>
      <c r="L50">
        <v>566</v>
      </c>
      <c r="M50">
        <f t="shared" si="3"/>
        <v>1</v>
      </c>
    </row>
    <row r="51" spans="1:13">
      <c r="A51" t="s">
        <v>196</v>
      </c>
      <c r="B51" s="1" t="s">
        <v>7</v>
      </c>
      <c r="C51" t="s">
        <v>162</v>
      </c>
      <c r="D51" t="s">
        <v>67</v>
      </c>
      <c r="E51" t="s">
        <v>336</v>
      </c>
      <c r="F51" t="s">
        <v>337</v>
      </c>
      <c r="G51">
        <v>1</v>
      </c>
      <c r="H51">
        <v>1</v>
      </c>
      <c r="I51">
        <f t="shared" si="2"/>
        <v>1</v>
      </c>
      <c r="J51">
        <v>0.66700000000000004</v>
      </c>
      <c r="K51">
        <v>0.5</v>
      </c>
      <c r="L51">
        <v>611</v>
      </c>
      <c r="M51">
        <f t="shared" si="3"/>
        <v>0.57199999999999995</v>
      </c>
    </row>
    <row r="52" spans="1:13">
      <c r="A52" t="s">
        <v>198</v>
      </c>
      <c r="B52" s="1" t="s">
        <v>199</v>
      </c>
      <c r="C52" t="s">
        <v>200</v>
      </c>
      <c r="D52" t="s">
        <v>3</v>
      </c>
      <c r="E52" t="s">
        <v>97</v>
      </c>
      <c r="F52" t="s">
        <v>35</v>
      </c>
      <c r="G52">
        <v>1</v>
      </c>
      <c r="H52">
        <v>0.33300000000000002</v>
      </c>
      <c r="I52">
        <f t="shared" si="2"/>
        <v>0.4996249062265567</v>
      </c>
      <c r="J52">
        <v>1</v>
      </c>
      <c r="K52">
        <v>0.25</v>
      </c>
      <c r="L52">
        <v>515</v>
      </c>
      <c r="M52">
        <f t="shared" si="3"/>
        <v>0.4</v>
      </c>
    </row>
    <row r="53" spans="1:13">
      <c r="A53" t="s">
        <v>203</v>
      </c>
      <c r="B53" s="1" t="s">
        <v>25</v>
      </c>
      <c r="C53" t="s">
        <v>204</v>
      </c>
      <c r="D53" t="s">
        <v>25</v>
      </c>
      <c r="E53" t="s">
        <v>369</v>
      </c>
      <c r="F53" t="s">
        <v>341</v>
      </c>
      <c r="G53">
        <v>1</v>
      </c>
      <c r="H53">
        <v>1</v>
      </c>
      <c r="I53">
        <f t="shared" si="2"/>
        <v>1</v>
      </c>
      <c r="J53">
        <v>0.5</v>
      </c>
      <c r="K53">
        <v>0.25</v>
      </c>
      <c r="L53">
        <v>544</v>
      </c>
      <c r="M53">
        <f t="shared" si="3"/>
        <v>0.33300000000000002</v>
      </c>
    </row>
    <row r="54" spans="1:13">
      <c r="A54" t="s">
        <v>207</v>
      </c>
      <c r="B54" s="1" t="s">
        <v>1</v>
      </c>
      <c r="C54" t="s">
        <v>208</v>
      </c>
      <c r="D54" t="s">
        <v>3</v>
      </c>
      <c r="E54" t="s">
        <v>4</v>
      </c>
      <c r="F54" t="s">
        <v>335</v>
      </c>
      <c r="G54">
        <v>1</v>
      </c>
      <c r="H54">
        <v>0.5</v>
      </c>
      <c r="I54">
        <f t="shared" si="2"/>
        <v>0.66666666666666663</v>
      </c>
      <c r="J54">
        <v>0</v>
      </c>
      <c r="K54">
        <v>0</v>
      </c>
      <c r="L54">
        <v>518</v>
      </c>
      <c r="M54">
        <f t="shared" si="3"/>
        <v>0</v>
      </c>
    </row>
    <row r="55" spans="1:13">
      <c r="A55" t="s">
        <v>209</v>
      </c>
      <c r="B55" s="1" t="s">
        <v>113</v>
      </c>
      <c r="C55" t="s">
        <v>210</v>
      </c>
      <c r="D55" t="s">
        <v>113</v>
      </c>
      <c r="E55" t="s">
        <v>370</v>
      </c>
      <c r="F55" t="s">
        <v>337</v>
      </c>
      <c r="G55">
        <v>1</v>
      </c>
      <c r="H55">
        <v>1</v>
      </c>
      <c r="I55">
        <f t="shared" si="2"/>
        <v>1</v>
      </c>
      <c r="J55">
        <v>0.83299999999999996</v>
      </c>
      <c r="K55">
        <v>1</v>
      </c>
      <c r="L55">
        <v>565</v>
      </c>
      <c r="M55">
        <f t="shared" si="3"/>
        <v>0.90900000000000003</v>
      </c>
    </row>
    <row r="56" spans="1:13">
      <c r="A56" t="s">
        <v>212</v>
      </c>
      <c r="B56" s="1" t="s">
        <v>67</v>
      </c>
      <c r="C56" t="s">
        <v>213</v>
      </c>
      <c r="D56" t="s">
        <v>113</v>
      </c>
      <c r="E56" t="s">
        <v>214</v>
      </c>
      <c r="F56" t="s">
        <v>337</v>
      </c>
      <c r="G56">
        <v>1</v>
      </c>
      <c r="H56">
        <v>0.5</v>
      </c>
      <c r="I56">
        <f t="shared" si="2"/>
        <v>0.66666666666666663</v>
      </c>
      <c r="J56">
        <v>0.66700000000000004</v>
      </c>
      <c r="K56">
        <v>1</v>
      </c>
      <c r="L56">
        <v>567</v>
      </c>
      <c r="M56">
        <f t="shared" si="3"/>
        <v>0.8</v>
      </c>
    </row>
    <row r="57" spans="1:13">
      <c r="A57" t="s">
        <v>215</v>
      </c>
      <c r="B57" s="1" t="s">
        <v>216</v>
      </c>
      <c r="C57" t="s">
        <v>217</v>
      </c>
      <c r="D57" t="s">
        <v>127</v>
      </c>
      <c r="E57" t="s">
        <v>22</v>
      </c>
      <c r="F57" t="s">
        <v>23</v>
      </c>
      <c r="G57">
        <v>0.5</v>
      </c>
      <c r="H57">
        <v>0.33300000000000002</v>
      </c>
      <c r="I57">
        <f t="shared" si="2"/>
        <v>0.39975990396158467</v>
      </c>
      <c r="J57">
        <v>1</v>
      </c>
      <c r="K57">
        <v>0.5</v>
      </c>
      <c r="L57">
        <v>662</v>
      </c>
      <c r="M57">
        <f t="shared" si="3"/>
        <v>0.66700000000000004</v>
      </c>
    </row>
    <row r="58" spans="1:13">
      <c r="A58" t="s">
        <v>218</v>
      </c>
      <c r="B58" s="1" t="s">
        <v>656</v>
      </c>
      <c r="C58" t="s">
        <v>22</v>
      </c>
      <c r="D58" t="s">
        <v>91</v>
      </c>
      <c r="E58" t="s">
        <v>22</v>
      </c>
      <c r="F58" t="s">
        <v>23</v>
      </c>
      <c r="G58">
        <v>1</v>
      </c>
      <c r="H58">
        <v>0.33300000000000002</v>
      </c>
      <c r="I58">
        <f t="shared" si="2"/>
        <v>0.4996249062265567</v>
      </c>
      <c r="J58">
        <v>1</v>
      </c>
      <c r="K58">
        <v>1</v>
      </c>
      <c r="L58">
        <v>535</v>
      </c>
      <c r="M58">
        <f t="shared" si="3"/>
        <v>1</v>
      </c>
    </row>
    <row r="59" spans="1:13">
      <c r="A59" t="s">
        <v>219</v>
      </c>
      <c r="B59" s="1" t="s">
        <v>220</v>
      </c>
      <c r="C59" t="s">
        <v>221</v>
      </c>
      <c r="D59" t="s">
        <v>3</v>
      </c>
      <c r="E59" t="s">
        <v>221</v>
      </c>
      <c r="F59" t="s">
        <v>222</v>
      </c>
      <c r="G59">
        <v>1</v>
      </c>
      <c r="H59">
        <v>0.5</v>
      </c>
      <c r="I59">
        <f t="shared" si="2"/>
        <v>0.66666666666666663</v>
      </c>
      <c r="J59">
        <v>1</v>
      </c>
      <c r="K59">
        <v>1</v>
      </c>
      <c r="L59">
        <v>523</v>
      </c>
      <c r="M59">
        <f t="shared" si="3"/>
        <v>1</v>
      </c>
    </row>
    <row r="60" spans="1:13">
      <c r="A60" t="s">
        <v>223</v>
      </c>
      <c r="B60" s="1" t="s">
        <v>7</v>
      </c>
      <c r="C60" t="s">
        <v>213</v>
      </c>
      <c r="D60" t="s">
        <v>113</v>
      </c>
      <c r="E60" t="s">
        <v>211</v>
      </c>
      <c r="F60" t="s">
        <v>354</v>
      </c>
      <c r="G60">
        <v>1</v>
      </c>
      <c r="H60">
        <v>0.5</v>
      </c>
      <c r="I60">
        <f t="shared" si="2"/>
        <v>0.66666666666666663</v>
      </c>
      <c r="J60">
        <v>1</v>
      </c>
      <c r="K60">
        <v>0.75</v>
      </c>
      <c r="L60">
        <v>559</v>
      </c>
      <c r="M60">
        <f t="shared" si="3"/>
        <v>0.85699999999999998</v>
      </c>
    </row>
    <row r="61" spans="1:13">
      <c r="A61" t="s">
        <v>224</v>
      </c>
      <c r="B61" s="1" t="s">
        <v>225</v>
      </c>
      <c r="C61" t="s">
        <v>226</v>
      </c>
      <c r="D61" t="s">
        <v>225</v>
      </c>
      <c r="E61" t="s">
        <v>274</v>
      </c>
      <c r="F61" t="s">
        <v>23</v>
      </c>
      <c r="G61">
        <v>1</v>
      </c>
      <c r="H61">
        <v>1</v>
      </c>
      <c r="I61">
        <f t="shared" si="2"/>
        <v>1</v>
      </c>
      <c r="J61">
        <v>1</v>
      </c>
      <c r="K61">
        <v>0.5</v>
      </c>
      <c r="L61">
        <v>699</v>
      </c>
      <c r="M61">
        <f t="shared" si="3"/>
        <v>0.66700000000000004</v>
      </c>
    </row>
    <row r="62" spans="1:13">
      <c r="A62" t="s">
        <v>228</v>
      </c>
      <c r="B62" s="1" t="s">
        <v>229</v>
      </c>
      <c r="C62" t="s">
        <v>230</v>
      </c>
      <c r="D62" t="s">
        <v>48</v>
      </c>
      <c r="E62" t="s">
        <v>371</v>
      </c>
      <c r="F62" t="s">
        <v>339</v>
      </c>
      <c r="G62">
        <v>0.5</v>
      </c>
      <c r="H62">
        <v>0.5</v>
      </c>
      <c r="I62">
        <f t="shared" si="2"/>
        <v>0.5</v>
      </c>
      <c r="J62">
        <v>0.14299999999999999</v>
      </c>
      <c r="K62">
        <v>0.5</v>
      </c>
      <c r="L62">
        <v>669</v>
      </c>
      <c r="M62">
        <f t="shared" si="3"/>
        <v>0.222</v>
      </c>
    </row>
    <row r="63" spans="1:13">
      <c r="A63" t="s">
        <v>232</v>
      </c>
      <c r="B63" s="1" t="s">
        <v>61</v>
      </c>
      <c r="C63" t="s">
        <v>233</v>
      </c>
      <c r="D63" t="s">
        <v>61</v>
      </c>
      <c r="E63" t="s">
        <v>372</v>
      </c>
      <c r="F63" t="s">
        <v>337</v>
      </c>
      <c r="G63">
        <v>1</v>
      </c>
      <c r="H63">
        <v>1</v>
      </c>
      <c r="I63">
        <f t="shared" si="2"/>
        <v>1</v>
      </c>
      <c r="J63">
        <v>0.42899999999999999</v>
      </c>
      <c r="K63">
        <v>0.375</v>
      </c>
      <c r="L63">
        <v>606</v>
      </c>
      <c r="M63">
        <f t="shared" si="3"/>
        <v>0.4</v>
      </c>
    </row>
    <row r="64" spans="1:13">
      <c r="A64" t="s">
        <v>235</v>
      </c>
      <c r="B64" s="1" t="s">
        <v>236</v>
      </c>
      <c r="C64" t="s">
        <v>237</v>
      </c>
      <c r="D64" t="s">
        <v>277</v>
      </c>
      <c r="E64" t="s">
        <v>366</v>
      </c>
      <c r="F64" t="s">
        <v>341</v>
      </c>
      <c r="G64">
        <v>1</v>
      </c>
      <c r="H64">
        <v>0.33300000000000002</v>
      </c>
      <c r="I64">
        <f t="shared" si="2"/>
        <v>0.4996249062265567</v>
      </c>
      <c r="J64">
        <v>0.33300000000000002</v>
      </c>
      <c r="K64">
        <v>0.5</v>
      </c>
      <c r="L64">
        <v>527</v>
      </c>
      <c r="M64">
        <f t="shared" si="3"/>
        <v>0.4</v>
      </c>
    </row>
    <row r="65" spans="1:13">
      <c r="A65" t="s">
        <v>240</v>
      </c>
      <c r="B65" s="1" t="s">
        <v>220</v>
      </c>
      <c r="C65" t="s">
        <v>221</v>
      </c>
      <c r="D65" t="s">
        <v>15</v>
      </c>
      <c r="E65" t="s">
        <v>373</v>
      </c>
      <c r="F65" t="s">
        <v>335</v>
      </c>
      <c r="G65">
        <v>0.5</v>
      </c>
      <c r="H65">
        <v>0.5</v>
      </c>
      <c r="I65">
        <f t="shared" si="2"/>
        <v>0.5</v>
      </c>
      <c r="J65">
        <v>0.5</v>
      </c>
      <c r="K65">
        <v>1</v>
      </c>
      <c r="L65">
        <v>579</v>
      </c>
      <c r="M65">
        <f t="shared" si="3"/>
        <v>0.66700000000000004</v>
      </c>
    </row>
    <row r="66" spans="1:13">
      <c r="A66" t="s">
        <v>242</v>
      </c>
      <c r="B66" s="1" t="s">
        <v>25</v>
      </c>
      <c r="C66" t="s">
        <v>243</v>
      </c>
      <c r="D66" t="s">
        <v>301</v>
      </c>
      <c r="E66" t="s">
        <v>256</v>
      </c>
      <c r="F66" t="s">
        <v>374</v>
      </c>
      <c r="G66">
        <v>0.5</v>
      </c>
      <c r="H66">
        <v>0.5</v>
      </c>
      <c r="I66">
        <f t="shared" ref="I66:I97" si="4">IF(G66+H66=0,0,2*G66*H66/(G66+H66))</f>
        <v>0.5</v>
      </c>
      <c r="J66">
        <v>1</v>
      </c>
      <c r="K66">
        <v>0.75</v>
      </c>
      <c r="L66">
        <v>563</v>
      </c>
      <c r="M66">
        <f t="shared" ref="M66:M94" si="5">IF(J66+K66=0,0,ROUND(2*J66*K66/(J66+K66),3))</f>
        <v>0.85699999999999998</v>
      </c>
    </row>
    <row r="67" spans="1:13">
      <c r="A67" t="s">
        <v>244</v>
      </c>
      <c r="B67" s="1" t="s">
        <v>245</v>
      </c>
      <c r="C67" t="s">
        <v>246</v>
      </c>
      <c r="D67" t="s">
        <v>54</v>
      </c>
      <c r="E67" t="s">
        <v>34</v>
      </c>
      <c r="F67" t="s">
        <v>35</v>
      </c>
      <c r="G67">
        <v>1</v>
      </c>
      <c r="H67">
        <v>0.5</v>
      </c>
      <c r="I67">
        <f t="shared" si="4"/>
        <v>0.66666666666666663</v>
      </c>
      <c r="J67">
        <v>0</v>
      </c>
      <c r="K67">
        <v>0</v>
      </c>
      <c r="L67">
        <v>526</v>
      </c>
      <c r="M67">
        <f t="shared" si="5"/>
        <v>0</v>
      </c>
    </row>
    <row r="68" spans="1:13">
      <c r="A68" t="s">
        <v>249</v>
      </c>
      <c r="B68" s="1" t="s">
        <v>54</v>
      </c>
      <c r="C68" t="s">
        <v>250</v>
      </c>
      <c r="D68" t="s">
        <v>251</v>
      </c>
      <c r="E68" t="s">
        <v>375</v>
      </c>
      <c r="F68" t="s">
        <v>376</v>
      </c>
      <c r="G68">
        <v>0</v>
      </c>
      <c r="H68">
        <v>0</v>
      </c>
      <c r="I68">
        <f t="shared" si="4"/>
        <v>0</v>
      </c>
      <c r="J68">
        <v>0.8</v>
      </c>
      <c r="K68">
        <v>1</v>
      </c>
      <c r="L68">
        <v>533</v>
      </c>
      <c r="M68">
        <f t="shared" si="5"/>
        <v>0.88900000000000001</v>
      </c>
    </row>
    <row r="69" spans="1:13">
      <c r="A69" t="s">
        <v>253</v>
      </c>
      <c r="B69" s="1" t="s">
        <v>254</v>
      </c>
      <c r="C69" t="s">
        <v>255</v>
      </c>
      <c r="D69" t="s">
        <v>254</v>
      </c>
      <c r="E69" t="s">
        <v>256</v>
      </c>
      <c r="F69" t="s">
        <v>374</v>
      </c>
      <c r="G69">
        <v>1</v>
      </c>
      <c r="H69">
        <v>1</v>
      </c>
      <c r="I69">
        <f t="shared" si="4"/>
        <v>1</v>
      </c>
      <c r="J69">
        <v>0.66700000000000004</v>
      </c>
      <c r="K69">
        <v>0.5</v>
      </c>
      <c r="L69">
        <v>556</v>
      </c>
      <c r="M69">
        <f t="shared" si="5"/>
        <v>0.57199999999999995</v>
      </c>
    </row>
    <row r="70" spans="1:13">
      <c r="A70" t="s">
        <v>257</v>
      </c>
      <c r="B70" s="1" t="s">
        <v>7</v>
      </c>
      <c r="C70" t="s">
        <v>258</v>
      </c>
      <c r="D70" t="s">
        <v>67</v>
      </c>
      <c r="E70" t="s">
        <v>377</v>
      </c>
      <c r="F70" t="s">
        <v>337</v>
      </c>
      <c r="G70">
        <v>1</v>
      </c>
      <c r="H70">
        <v>1</v>
      </c>
      <c r="I70">
        <f t="shared" si="4"/>
        <v>1</v>
      </c>
      <c r="J70">
        <v>1</v>
      </c>
      <c r="K70">
        <v>0.66700000000000004</v>
      </c>
      <c r="L70">
        <v>607</v>
      </c>
      <c r="M70">
        <f t="shared" si="5"/>
        <v>0.8</v>
      </c>
    </row>
    <row r="71" spans="1:13">
      <c r="A71" t="s">
        <v>261</v>
      </c>
      <c r="B71" s="1" t="s">
        <v>25</v>
      </c>
      <c r="C71" t="s">
        <v>118</v>
      </c>
      <c r="D71" t="s">
        <v>25</v>
      </c>
      <c r="E71" t="s">
        <v>206</v>
      </c>
      <c r="F71" t="s">
        <v>341</v>
      </c>
      <c r="G71">
        <v>1</v>
      </c>
      <c r="H71">
        <v>1</v>
      </c>
      <c r="I71">
        <f t="shared" si="4"/>
        <v>1</v>
      </c>
      <c r="J71">
        <v>0.5</v>
      </c>
      <c r="K71">
        <v>1</v>
      </c>
      <c r="L71">
        <v>546</v>
      </c>
      <c r="M71">
        <f t="shared" si="5"/>
        <v>0.66700000000000004</v>
      </c>
    </row>
    <row r="72" spans="1:13">
      <c r="A72" t="s">
        <v>18</v>
      </c>
      <c r="B72" s="1" t="s">
        <v>46</v>
      </c>
      <c r="C72" t="s">
        <v>22</v>
      </c>
      <c r="D72" t="s">
        <v>190</v>
      </c>
      <c r="E72" t="s">
        <v>378</v>
      </c>
      <c r="F72" t="s">
        <v>23</v>
      </c>
      <c r="G72">
        <v>0.66700000000000004</v>
      </c>
      <c r="H72">
        <v>1</v>
      </c>
      <c r="I72">
        <f t="shared" si="4"/>
        <v>0.80023995200959808</v>
      </c>
      <c r="J72">
        <v>0.33300000000000002</v>
      </c>
      <c r="K72">
        <v>1</v>
      </c>
      <c r="L72">
        <v>757</v>
      </c>
      <c r="M72">
        <f t="shared" si="5"/>
        <v>0.5</v>
      </c>
    </row>
    <row r="73" spans="1:13">
      <c r="A73" t="s">
        <v>264</v>
      </c>
      <c r="B73" s="1" t="s">
        <v>46</v>
      </c>
      <c r="C73" t="s">
        <v>265</v>
      </c>
      <c r="D73" t="s">
        <v>48</v>
      </c>
      <c r="E73" t="s">
        <v>379</v>
      </c>
      <c r="F73" t="s">
        <v>50</v>
      </c>
      <c r="G73">
        <v>0.5</v>
      </c>
      <c r="H73">
        <v>0.5</v>
      </c>
      <c r="I73">
        <f t="shared" si="4"/>
        <v>0.5</v>
      </c>
      <c r="J73">
        <v>0.25</v>
      </c>
      <c r="K73">
        <v>1</v>
      </c>
      <c r="L73">
        <v>656</v>
      </c>
      <c r="M73">
        <f t="shared" si="5"/>
        <v>0.4</v>
      </c>
    </row>
    <row r="74" spans="1:13">
      <c r="A74" t="s">
        <v>267</v>
      </c>
      <c r="B74" s="1" t="s">
        <v>19</v>
      </c>
      <c r="C74" t="s">
        <v>268</v>
      </c>
      <c r="D74" t="s">
        <v>3</v>
      </c>
      <c r="E74" t="s">
        <v>4</v>
      </c>
      <c r="F74" t="s">
        <v>335</v>
      </c>
      <c r="G74">
        <v>0</v>
      </c>
      <c r="H74">
        <v>0</v>
      </c>
      <c r="I74">
        <f t="shared" si="4"/>
        <v>0</v>
      </c>
      <c r="J74">
        <v>0.5</v>
      </c>
      <c r="K74">
        <v>0.33300000000000002</v>
      </c>
      <c r="L74">
        <v>538</v>
      </c>
      <c r="M74">
        <f t="shared" si="5"/>
        <v>0.4</v>
      </c>
    </row>
    <row r="75" spans="1:13">
      <c r="A75" t="s">
        <v>270</v>
      </c>
      <c r="B75" s="1" t="s">
        <v>271</v>
      </c>
      <c r="C75" t="s">
        <v>272</v>
      </c>
      <c r="D75" t="s">
        <v>380</v>
      </c>
      <c r="E75" t="s">
        <v>381</v>
      </c>
      <c r="F75" t="s">
        <v>337</v>
      </c>
      <c r="G75">
        <v>0</v>
      </c>
      <c r="H75">
        <v>0</v>
      </c>
      <c r="I75">
        <f t="shared" si="4"/>
        <v>0</v>
      </c>
      <c r="J75">
        <v>0.33300000000000002</v>
      </c>
      <c r="K75">
        <v>0.2</v>
      </c>
      <c r="L75">
        <v>589</v>
      </c>
      <c r="M75">
        <f t="shared" si="5"/>
        <v>0.25</v>
      </c>
    </row>
    <row r="76" spans="1:13">
      <c r="A76" t="s">
        <v>275</v>
      </c>
      <c r="B76" s="1" t="s">
        <v>236</v>
      </c>
      <c r="C76" t="s">
        <v>237</v>
      </c>
      <c r="D76" t="s">
        <v>277</v>
      </c>
      <c r="E76" t="s">
        <v>118</v>
      </c>
      <c r="F76" t="s">
        <v>341</v>
      </c>
      <c r="G76">
        <v>1</v>
      </c>
      <c r="H76">
        <v>0.33300000000000002</v>
      </c>
      <c r="I76">
        <f t="shared" si="4"/>
        <v>0.4996249062265567</v>
      </c>
      <c r="J76">
        <v>0</v>
      </c>
      <c r="K76">
        <v>0</v>
      </c>
      <c r="L76">
        <v>541</v>
      </c>
      <c r="M76">
        <f t="shared" si="5"/>
        <v>0</v>
      </c>
    </row>
    <row r="77" spans="1:13">
      <c r="A77" t="s">
        <v>279</v>
      </c>
      <c r="B77" s="1" t="s">
        <v>54</v>
      </c>
      <c r="C77" t="s">
        <v>280</v>
      </c>
      <c r="D77" t="s">
        <v>54</v>
      </c>
      <c r="E77" t="s">
        <v>281</v>
      </c>
      <c r="F77" t="s">
        <v>341</v>
      </c>
      <c r="G77">
        <v>1</v>
      </c>
      <c r="H77">
        <v>1</v>
      </c>
      <c r="I77">
        <f t="shared" si="4"/>
        <v>1</v>
      </c>
      <c r="J77">
        <v>0.66700000000000004</v>
      </c>
      <c r="K77">
        <v>0.66700000000000004</v>
      </c>
      <c r="L77">
        <v>541</v>
      </c>
      <c r="M77">
        <f t="shared" si="5"/>
        <v>0.66700000000000004</v>
      </c>
    </row>
    <row r="78" spans="1:13">
      <c r="A78" t="s">
        <v>282</v>
      </c>
      <c r="B78" s="1" t="s">
        <v>283</v>
      </c>
      <c r="C78" t="s">
        <v>284</v>
      </c>
      <c r="D78" t="s">
        <v>361</v>
      </c>
      <c r="E78" t="s">
        <v>362</v>
      </c>
      <c r="F78" t="s">
        <v>337</v>
      </c>
      <c r="G78">
        <v>0</v>
      </c>
      <c r="H78">
        <v>0</v>
      </c>
      <c r="I78">
        <f t="shared" si="4"/>
        <v>0</v>
      </c>
      <c r="J78">
        <v>0</v>
      </c>
      <c r="K78">
        <v>0</v>
      </c>
      <c r="L78">
        <v>520</v>
      </c>
      <c r="M78">
        <f t="shared" si="5"/>
        <v>0</v>
      </c>
    </row>
    <row r="79" spans="1:13">
      <c r="A79" t="s">
        <v>287</v>
      </c>
      <c r="B79" s="1" t="s">
        <v>7</v>
      </c>
      <c r="C79" t="s">
        <v>288</v>
      </c>
      <c r="D79" t="s">
        <v>7</v>
      </c>
      <c r="E79" t="s">
        <v>336</v>
      </c>
      <c r="F79" t="s">
        <v>337</v>
      </c>
      <c r="G79">
        <v>1</v>
      </c>
      <c r="H79">
        <v>1</v>
      </c>
      <c r="I79">
        <f t="shared" si="4"/>
        <v>1</v>
      </c>
      <c r="J79">
        <v>0.66700000000000004</v>
      </c>
      <c r="K79">
        <v>0.5</v>
      </c>
      <c r="L79">
        <v>610</v>
      </c>
      <c r="M79">
        <f t="shared" si="5"/>
        <v>0.57199999999999995</v>
      </c>
    </row>
    <row r="80" spans="1:13">
      <c r="A80" t="s">
        <v>290</v>
      </c>
      <c r="B80" s="1" t="s">
        <v>291</v>
      </c>
      <c r="C80" t="s">
        <v>292</v>
      </c>
      <c r="D80" t="s">
        <v>291</v>
      </c>
      <c r="E80" t="s">
        <v>197</v>
      </c>
      <c r="F80" t="s">
        <v>354</v>
      </c>
      <c r="G80">
        <v>1</v>
      </c>
      <c r="H80">
        <v>1</v>
      </c>
      <c r="I80">
        <f t="shared" si="4"/>
        <v>1</v>
      </c>
      <c r="J80">
        <v>1</v>
      </c>
      <c r="K80">
        <v>0.5</v>
      </c>
      <c r="L80">
        <v>617</v>
      </c>
      <c r="M80">
        <f t="shared" si="5"/>
        <v>0.66700000000000004</v>
      </c>
    </row>
    <row r="81" spans="1:13">
      <c r="A81" s="3" t="s">
        <v>294</v>
      </c>
      <c r="B81" s="1" t="s">
        <v>295</v>
      </c>
      <c r="C81" t="s">
        <v>284</v>
      </c>
      <c r="D81" t="s">
        <v>296</v>
      </c>
      <c r="E81" t="s">
        <v>297</v>
      </c>
      <c r="F81" t="s">
        <v>337</v>
      </c>
      <c r="G81">
        <v>0.5</v>
      </c>
      <c r="H81">
        <v>0.5</v>
      </c>
      <c r="I81">
        <f t="shared" si="4"/>
        <v>0.5</v>
      </c>
      <c r="J81">
        <v>0.4</v>
      </c>
      <c r="K81">
        <v>1</v>
      </c>
      <c r="L81">
        <v>631</v>
      </c>
      <c r="M81">
        <f t="shared" si="5"/>
        <v>0.57099999999999995</v>
      </c>
    </row>
    <row r="82" spans="1:13">
      <c r="A82" t="s">
        <v>298</v>
      </c>
      <c r="B82" s="1" t="s">
        <v>299</v>
      </c>
      <c r="C82" t="s">
        <v>300</v>
      </c>
      <c r="D82" t="s">
        <v>382</v>
      </c>
      <c r="E82" t="s">
        <v>383</v>
      </c>
      <c r="F82" t="s">
        <v>376</v>
      </c>
      <c r="G82">
        <v>0</v>
      </c>
      <c r="H82">
        <v>0</v>
      </c>
      <c r="I82">
        <f t="shared" si="4"/>
        <v>0</v>
      </c>
      <c r="J82">
        <v>1</v>
      </c>
      <c r="K82">
        <v>0.75</v>
      </c>
      <c r="L82">
        <v>621</v>
      </c>
      <c r="M82">
        <f t="shared" si="5"/>
        <v>0.85699999999999998</v>
      </c>
    </row>
    <row r="83" spans="1:13">
      <c r="A83" t="s">
        <v>302</v>
      </c>
      <c r="B83" s="1" t="s">
        <v>303</v>
      </c>
      <c r="C83" t="s">
        <v>304</v>
      </c>
      <c r="D83" t="s">
        <v>384</v>
      </c>
      <c r="E83" t="s">
        <v>304</v>
      </c>
      <c r="F83" t="s">
        <v>23</v>
      </c>
      <c r="G83">
        <v>0.66700000000000004</v>
      </c>
      <c r="H83">
        <v>0.66700000000000004</v>
      </c>
      <c r="I83">
        <f t="shared" si="4"/>
        <v>0.66700000000000004</v>
      </c>
      <c r="J83">
        <v>1</v>
      </c>
      <c r="K83">
        <v>1</v>
      </c>
      <c r="L83">
        <v>760</v>
      </c>
      <c r="M83">
        <f t="shared" si="5"/>
        <v>1</v>
      </c>
    </row>
    <row r="84" spans="1:13">
      <c r="A84" t="s">
        <v>307</v>
      </c>
      <c r="B84" s="1" t="s">
        <v>183</v>
      </c>
      <c r="C84" t="s">
        <v>308</v>
      </c>
      <c r="D84" t="s">
        <v>385</v>
      </c>
      <c r="E84" t="s">
        <v>386</v>
      </c>
      <c r="G84">
        <v>0.5</v>
      </c>
      <c r="H84">
        <v>0.5</v>
      </c>
      <c r="I84">
        <f t="shared" si="4"/>
        <v>0.5</v>
      </c>
      <c r="J84">
        <v>0</v>
      </c>
      <c r="K84">
        <v>0</v>
      </c>
      <c r="L84">
        <v>631</v>
      </c>
      <c r="M84">
        <f t="shared" si="5"/>
        <v>0</v>
      </c>
    </row>
    <row r="85" spans="1:13">
      <c r="A85" t="s">
        <v>310</v>
      </c>
      <c r="B85" s="1" t="s">
        <v>19</v>
      </c>
      <c r="C85" t="s">
        <v>311</v>
      </c>
      <c r="D85" t="s">
        <v>33</v>
      </c>
      <c r="E85" t="s">
        <v>387</v>
      </c>
      <c r="G85">
        <v>0</v>
      </c>
      <c r="H85">
        <v>0</v>
      </c>
      <c r="I85">
        <f t="shared" si="4"/>
        <v>0</v>
      </c>
      <c r="J85">
        <v>0</v>
      </c>
      <c r="K85">
        <v>0</v>
      </c>
      <c r="L85">
        <v>547</v>
      </c>
      <c r="M85">
        <f t="shared" si="5"/>
        <v>0</v>
      </c>
    </row>
    <row r="86" spans="1:13">
      <c r="A86" t="s">
        <v>313</v>
      </c>
      <c r="B86" s="1" t="s">
        <v>46</v>
      </c>
      <c r="C86" t="s">
        <v>314</v>
      </c>
      <c r="D86" t="s">
        <v>46</v>
      </c>
      <c r="E86" t="s">
        <v>388</v>
      </c>
      <c r="F86" t="s">
        <v>341</v>
      </c>
      <c r="G86">
        <v>1</v>
      </c>
      <c r="H86">
        <v>1</v>
      </c>
      <c r="I86">
        <f t="shared" si="4"/>
        <v>1</v>
      </c>
      <c r="J86">
        <v>0.75</v>
      </c>
      <c r="K86">
        <v>0.6</v>
      </c>
      <c r="L86">
        <v>715</v>
      </c>
      <c r="M86">
        <f t="shared" si="5"/>
        <v>0.66700000000000004</v>
      </c>
    </row>
    <row r="87" spans="1:13">
      <c r="A87" t="s">
        <v>316</v>
      </c>
      <c r="B87" s="1" t="s">
        <v>19</v>
      </c>
      <c r="C87" t="s">
        <v>317</v>
      </c>
      <c r="D87" t="s">
        <v>389</v>
      </c>
      <c r="E87" t="s">
        <v>366</v>
      </c>
      <c r="F87" t="s">
        <v>341</v>
      </c>
      <c r="G87">
        <v>0</v>
      </c>
      <c r="H87">
        <v>0</v>
      </c>
      <c r="I87">
        <f t="shared" si="4"/>
        <v>0</v>
      </c>
      <c r="J87">
        <v>1</v>
      </c>
      <c r="K87">
        <v>0.75</v>
      </c>
      <c r="L87">
        <v>577</v>
      </c>
      <c r="M87">
        <f t="shared" si="5"/>
        <v>0.85699999999999998</v>
      </c>
    </row>
    <row r="88" spans="1:13">
      <c r="A88" t="s">
        <v>319</v>
      </c>
      <c r="B88" s="1" t="s">
        <v>320</v>
      </c>
      <c r="C88" t="s">
        <v>321</v>
      </c>
      <c r="D88" t="s">
        <v>33</v>
      </c>
      <c r="E88" t="s">
        <v>390</v>
      </c>
      <c r="G88">
        <v>0</v>
      </c>
      <c r="H88">
        <v>0</v>
      </c>
      <c r="I88">
        <f t="shared" si="4"/>
        <v>0</v>
      </c>
      <c r="J88">
        <v>0</v>
      </c>
      <c r="K88">
        <v>0</v>
      </c>
      <c r="L88">
        <v>531</v>
      </c>
      <c r="M88">
        <f t="shared" si="5"/>
        <v>0</v>
      </c>
    </row>
    <row r="89" spans="1:13">
      <c r="A89" t="s">
        <v>323</v>
      </c>
      <c r="B89" s="1" t="s">
        <v>37</v>
      </c>
      <c r="C89" t="s">
        <v>324</v>
      </c>
      <c r="D89" t="s">
        <v>37</v>
      </c>
      <c r="E89" t="s">
        <v>391</v>
      </c>
      <c r="F89" t="s">
        <v>392</v>
      </c>
      <c r="G89">
        <v>1</v>
      </c>
      <c r="H89">
        <v>1</v>
      </c>
      <c r="I89">
        <f t="shared" si="4"/>
        <v>1</v>
      </c>
      <c r="J89">
        <v>0.5</v>
      </c>
      <c r="K89">
        <v>1</v>
      </c>
      <c r="L89">
        <v>545</v>
      </c>
      <c r="M89">
        <f t="shared" si="5"/>
        <v>0.66700000000000004</v>
      </c>
    </row>
    <row r="90" spans="1:13">
      <c r="A90" t="s">
        <v>267</v>
      </c>
      <c r="B90" s="1" t="s">
        <v>19</v>
      </c>
      <c r="C90" t="s">
        <v>268</v>
      </c>
      <c r="D90" t="s">
        <v>3</v>
      </c>
      <c r="E90" t="s">
        <v>393</v>
      </c>
      <c r="F90" t="s">
        <v>222</v>
      </c>
      <c r="G90">
        <v>0</v>
      </c>
      <c r="H90">
        <v>0</v>
      </c>
      <c r="I90">
        <f t="shared" si="4"/>
        <v>0</v>
      </c>
      <c r="J90">
        <v>1</v>
      </c>
      <c r="K90">
        <v>0.33300000000000002</v>
      </c>
      <c r="L90">
        <v>535</v>
      </c>
      <c r="M90">
        <f t="shared" si="5"/>
        <v>0.5</v>
      </c>
    </row>
    <row r="91" spans="1:13">
      <c r="A91" t="s">
        <v>326</v>
      </c>
      <c r="B91" s="1" t="s">
        <v>183</v>
      </c>
      <c r="C91" t="s">
        <v>327</v>
      </c>
      <c r="D91" t="s">
        <v>277</v>
      </c>
      <c r="E91" t="s">
        <v>394</v>
      </c>
      <c r="F91" t="s">
        <v>23</v>
      </c>
      <c r="G91">
        <v>1</v>
      </c>
      <c r="H91">
        <v>0.5</v>
      </c>
      <c r="I91">
        <f t="shared" si="4"/>
        <v>0.66666666666666663</v>
      </c>
      <c r="J91">
        <v>0</v>
      </c>
      <c r="K91">
        <v>0</v>
      </c>
      <c r="L91">
        <v>525</v>
      </c>
      <c r="M91">
        <f t="shared" si="5"/>
        <v>0</v>
      </c>
    </row>
    <row r="92" spans="1:13">
      <c r="A92" t="s">
        <v>329</v>
      </c>
      <c r="B92" s="1" t="s">
        <v>13</v>
      </c>
      <c r="C92" t="s">
        <v>330</v>
      </c>
      <c r="D92" t="s">
        <v>3</v>
      </c>
      <c r="E92" t="s">
        <v>97</v>
      </c>
      <c r="F92" t="s">
        <v>35</v>
      </c>
      <c r="G92">
        <v>0</v>
      </c>
      <c r="H92">
        <v>0</v>
      </c>
      <c r="I92">
        <f t="shared" si="4"/>
        <v>0</v>
      </c>
      <c r="J92">
        <v>0</v>
      </c>
      <c r="K92">
        <v>0</v>
      </c>
      <c r="L92">
        <v>513</v>
      </c>
      <c r="M92">
        <f t="shared" si="5"/>
        <v>0</v>
      </c>
    </row>
    <row r="93" spans="1:13">
      <c r="A93" t="s">
        <v>332</v>
      </c>
      <c r="B93" s="1" t="s">
        <v>37</v>
      </c>
      <c r="C93" t="s">
        <v>324</v>
      </c>
      <c r="D93" t="s">
        <v>37</v>
      </c>
      <c r="E93" t="s">
        <v>391</v>
      </c>
      <c r="F93" t="s">
        <v>392</v>
      </c>
      <c r="G93">
        <v>1</v>
      </c>
      <c r="H93">
        <v>1</v>
      </c>
      <c r="I93">
        <f t="shared" si="4"/>
        <v>1</v>
      </c>
      <c r="J93">
        <v>0.5</v>
      </c>
      <c r="K93">
        <v>1</v>
      </c>
      <c r="L93">
        <v>547</v>
      </c>
      <c r="M93">
        <f t="shared" si="5"/>
        <v>0.66700000000000004</v>
      </c>
    </row>
    <row r="94" spans="1:13">
      <c r="A94" t="s">
        <v>334</v>
      </c>
      <c r="B94" s="1" t="s">
        <v>61</v>
      </c>
      <c r="C94" t="s">
        <v>221</v>
      </c>
      <c r="D94" t="s">
        <v>395</v>
      </c>
      <c r="E94" t="s">
        <v>221</v>
      </c>
      <c r="F94" t="s">
        <v>222</v>
      </c>
      <c r="G94">
        <v>0</v>
      </c>
      <c r="H94">
        <v>0</v>
      </c>
      <c r="I94">
        <f t="shared" si="4"/>
        <v>0</v>
      </c>
      <c r="J94">
        <v>1</v>
      </c>
      <c r="K94">
        <v>1</v>
      </c>
      <c r="L94">
        <v>520</v>
      </c>
      <c r="M94">
        <f t="shared" si="5"/>
        <v>1</v>
      </c>
    </row>
  </sheetData>
  <autoFilter ref="G1:M94" xr:uid="{00000000-0009-0000-0000-000001000000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4"/>
  <sheetViews>
    <sheetView topLeftCell="B1" zoomScale="70" zoomScaleNormal="70" workbookViewId="0">
      <selection activeCell="O8" sqref="O8"/>
    </sheetView>
  </sheetViews>
  <sheetFormatPr defaultRowHeight="18"/>
  <cols>
    <col min="1" max="1" width="86.08203125" customWidth="1"/>
    <col min="2" max="2" width="12.6640625" customWidth="1"/>
    <col min="3" max="3" width="11.4140625" customWidth="1"/>
    <col min="4" max="4" width="13.5" customWidth="1"/>
    <col min="5" max="5" width="38.1640625" customWidth="1"/>
    <col min="7" max="7" width="11.08203125" customWidth="1"/>
    <col min="8" max="8" width="10.9140625" customWidth="1"/>
    <col min="12" max="12" width="16.5" customWidth="1"/>
    <col min="13" max="13" width="19.1640625" customWidth="1"/>
    <col min="14" max="14" width="17.4140625" customWidth="1"/>
    <col min="15" max="15" width="11.08203125" customWidth="1"/>
  </cols>
  <sheetData>
    <row r="1" spans="1:16" s="5" customFormat="1">
      <c r="A1" s="5" t="s">
        <v>634</v>
      </c>
      <c r="B1" s="5" t="s">
        <v>647</v>
      </c>
      <c r="C1" s="5" t="s">
        <v>635</v>
      </c>
      <c r="D1" s="5" t="s">
        <v>648</v>
      </c>
      <c r="E1" s="5" t="s">
        <v>636</v>
      </c>
      <c r="F1" s="5" t="s">
        <v>637</v>
      </c>
      <c r="G1" s="5" t="s">
        <v>649</v>
      </c>
      <c r="H1" s="5" t="s">
        <v>650</v>
      </c>
      <c r="I1" s="5" t="s">
        <v>651</v>
      </c>
      <c r="J1" s="5" t="s">
        <v>638</v>
      </c>
      <c r="K1" s="5" t="s">
        <v>639</v>
      </c>
      <c r="L1" s="5" t="s">
        <v>640</v>
      </c>
      <c r="M1" s="5" t="s">
        <v>641</v>
      </c>
      <c r="N1" s="5" t="s">
        <v>642</v>
      </c>
      <c r="O1" s="5" t="s">
        <v>643</v>
      </c>
      <c r="P1" s="6" t="s">
        <v>644</v>
      </c>
    </row>
    <row r="2" spans="1:16">
      <c r="A2" t="s">
        <v>0</v>
      </c>
      <c r="B2" s="1" t="s">
        <v>1</v>
      </c>
      <c r="C2" t="s">
        <v>2</v>
      </c>
      <c r="D2" t="s">
        <v>396</v>
      </c>
      <c r="E2" t="s">
        <v>397</v>
      </c>
      <c r="F2" t="s">
        <v>35</v>
      </c>
      <c r="G2">
        <v>0</v>
      </c>
      <c r="H2">
        <v>0</v>
      </c>
      <c r="I2">
        <f t="shared" ref="I2:I33" si="0">IF(G2+H2=0,0,2*G2*H2/(G2+H2))</f>
        <v>0</v>
      </c>
      <c r="J2">
        <v>0</v>
      </c>
      <c r="K2">
        <v>0</v>
      </c>
      <c r="L2">
        <v>420</v>
      </c>
      <c r="M2">
        <f t="shared" ref="M2:M33" si="1">IF(J2+K2=0,0,ROUND(2*J2*K2/(J2+K2),3))</f>
        <v>0</v>
      </c>
      <c r="N2" s="2">
        <f>ROUND(AVERAGE(J2:J94),3)</f>
        <v>0.53400000000000003</v>
      </c>
      <c r="O2" s="2">
        <f>ROUND(AVERAGE(K2:K94),3)</f>
        <v>0.59399999999999997</v>
      </c>
      <c r="P2" s="2">
        <f>SUM(M2:M94)/93</f>
        <v>0.52617204301075249</v>
      </c>
    </row>
    <row r="3" spans="1:16" ht="18" customHeight="1">
      <c r="A3" t="s">
        <v>6</v>
      </c>
      <c r="B3" s="1" t="s">
        <v>7</v>
      </c>
      <c r="C3" t="s">
        <v>8</v>
      </c>
      <c r="D3" t="s">
        <v>9</v>
      </c>
      <c r="E3" t="s">
        <v>289</v>
      </c>
      <c r="F3" t="s">
        <v>357</v>
      </c>
      <c r="G3">
        <v>1</v>
      </c>
      <c r="H3">
        <v>0.5</v>
      </c>
      <c r="I3">
        <f t="shared" si="0"/>
        <v>0.66666666666666663</v>
      </c>
      <c r="J3">
        <v>0.5</v>
      </c>
      <c r="K3">
        <v>0.4</v>
      </c>
      <c r="L3">
        <v>419</v>
      </c>
      <c r="M3">
        <f t="shared" si="1"/>
        <v>0.44400000000000001</v>
      </c>
      <c r="P3" s="2"/>
    </row>
    <row r="4" spans="1:16">
      <c r="A4" t="s">
        <v>12</v>
      </c>
      <c r="B4" s="1" t="s">
        <v>13</v>
      </c>
      <c r="C4" t="s">
        <v>14</v>
      </c>
      <c r="D4" t="s">
        <v>13</v>
      </c>
      <c r="E4" t="s">
        <v>331</v>
      </c>
      <c r="F4" t="s">
        <v>351</v>
      </c>
      <c r="G4">
        <v>1</v>
      </c>
      <c r="H4">
        <v>1</v>
      </c>
      <c r="I4">
        <f t="shared" si="0"/>
        <v>1</v>
      </c>
      <c r="J4">
        <v>1</v>
      </c>
      <c r="K4">
        <v>0.66700000000000004</v>
      </c>
      <c r="L4">
        <v>415</v>
      </c>
      <c r="M4">
        <f t="shared" si="1"/>
        <v>0.8</v>
      </c>
      <c r="N4" t="s">
        <v>652</v>
      </c>
      <c r="O4" t="s">
        <v>653</v>
      </c>
      <c r="P4" s="2" t="s">
        <v>654</v>
      </c>
    </row>
    <row r="5" spans="1:16">
      <c r="A5" t="s">
        <v>18</v>
      </c>
      <c r="B5" s="1" t="s">
        <v>19</v>
      </c>
      <c r="C5" t="s">
        <v>20</v>
      </c>
      <c r="D5" t="s">
        <v>305</v>
      </c>
      <c r="E5" t="s">
        <v>306</v>
      </c>
      <c r="F5" t="s">
        <v>23</v>
      </c>
      <c r="G5">
        <v>0.5</v>
      </c>
      <c r="H5">
        <v>0.5</v>
      </c>
      <c r="I5">
        <f t="shared" si="0"/>
        <v>0.5</v>
      </c>
      <c r="J5">
        <v>0.5</v>
      </c>
      <c r="K5">
        <v>1</v>
      </c>
      <c r="L5">
        <v>529</v>
      </c>
      <c r="M5">
        <f t="shared" si="1"/>
        <v>0.66700000000000004</v>
      </c>
      <c r="N5" s="2">
        <f>ROUND(AVERAGE(G2:G94),3)</f>
        <v>0.628</v>
      </c>
      <c r="O5" s="2">
        <f>ROUND(AVERAGE(H2:H94),3)</f>
        <v>0.54700000000000004</v>
      </c>
      <c r="P5" s="2">
        <f>ROUND(AVERAGE(I2:I94),3)</f>
        <v>0.55200000000000005</v>
      </c>
    </row>
    <row r="6" spans="1:16">
      <c r="A6" t="s">
        <v>24</v>
      </c>
      <c r="B6" s="1" t="s">
        <v>25</v>
      </c>
      <c r="C6" t="s">
        <v>26</v>
      </c>
      <c r="D6" t="s">
        <v>33</v>
      </c>
      <c r="E6" t="s">
        <v>262</v>
      </c>
      <c r="F6" t="s">
        <v>341</v>
      </c>
      <c r="G6">
        <v>1</v>
      </c>
      <c r="H6">
        <v>0.5</v>
      </c>
      <c r="I6">
        <f t="shared" si="0"/>
        <v>0.66666666666666663</v>
      </c>
      <c r="J6">
        <v>1</v>
      </c>
      <c r="K6">
        <v>0.75</v>
      </c>
      <c r="L6">
        <v>378</v>
      </c>
      <c r="M6">
        <f t="shared" si="1"/>
        <v>0.85699999999999998</v>
      </c>
      <c r="O6" t="s">
        <v>645</v>
      </c>
    </row>
    <row r="7" spans="1:16">
      <c r="A7" t="s">
        <v>30</v>
      </c>
      <c r="B7" s="1" t="s">
        <v>31</v>
      </c>
      <c r="C7" t="s">
        <v>32</v>
      </c>
      <c r="D7" t="s">
        <v>398</v>
      </c>
      <c r="E7" t="s">
        <v>399</v>
      </c>
      <c r="F7" t="s">
        <v>351</v>
      </c>
      <c r="G7">
        <v>0</v>
      </c>
      <c r="H7">
        <v>0</v>
      </c>
      <c r="I7">
        <f t="shared" si="0"/>
        <v>0</v>
      </c>
      <c r="J7">
        <v>0.33300000000000002</v>
      </c>
      <c r="K7">
        <v>0.2</v>
      </c>
      <c r="L7">
        <v>372</v>
      </c>
      <c r="M7">
        <f t="shared" si="1"/>
        <v>0.25</v>
      </c>
      <c r="O7" s="4">
        <f>AVERAGE(L2:L94)</f>
        <v>460.2043010752688</v>
      </c>
    </row>
    <row r="8" spans="1:16">
      <c r="A8" t="s">
        <v>36</v>
      </c>
      <c r="B8" s="1" t="s">
        <v>37</v>
      </c>
      <c r="C8" t="s">
        <v>38</v>
      </c>
      <c r="D8" t="s">
        <v>37</v>
      </c>
      <c r="E8" t="s">
        <v>39</v>
      </c>
      <c r="F8" t="s">
        <v>341</v>
      </c>
      <c r="G8">
        <v>1</v>
      </c>
      <c r="H8">
        <v>1</v>
      </c>
      <c r="I8">
        <f t="shared" si="0"/>
        <v>1</v>
      </c>
      <c r="J8">
        <v>0.33300000000000002</v>
      </c>
      <c r="K8">
        <v>0.5</v>
      </c>
      <c r="L8">
        <v>414</v>
      </c>
      <c r="M8">
        <f t="shared" si="1"/>
        <v>0.4</v>
      </c>
      <c r="O8" t="s">
        <v>646</v>
      </c>
    </row>
    <row r="9" spans="1:16">
      <c r="A9" t="s">
        <v>40</v>
      </c>
      <c r="B9" s="1" t="s">
        <v>41</v>
      </c>
      <c r="C9" t="s">
        <v>34</v>
      </c>
      <c r="D9" t="s">
        <v>33</v>
      </c>
      <c r="E9" t="s">
        <v>34</v>
      </c>
      <c r="F9" t="s">
        <v>35</v>
      </c>
      <c r="G9">
        <v>1</v>
      </c>
      <c r="H9">
        <v>0.33300000000000002</v>
      </c>
      <c r="I9">
        <f t="shared" si="0"/>
        <v>0.4996249062265567</v>
      </c>
      <c r="J9">
        <v>1</v>
      </c>
      <c r="K9">
        <v>1</v>
      </c>
      <c r="L9">
        <v>376</v>
      </c>
      <c r="M9">
        <f t="shared" si="1"/>
        <v>1</v>
      </c>
      <c r="O9" s="2">
        <f>_xlfn.STDEV.P(L2:L94)</f>
        <v>56.55496120955906</v>
      </c>
    </row>
    <row r="10" spans="1:16">
      <c r="A10" t="s">
        <v>45</v>
      </c>
      <c r="B10" s="1" t="s">
        <v>46</v>
      </c>
      <c r="C10" t="s">
        <v>47</v>
      </c>
      <c r="D10" t="s">
        <v>48</v>
      </c>
      <c r="E10" t="s">
        <v>400</v>
      </c>
      <c r="F10" t="s">
        <v>401</v>
      </c>
      <c r="G10">
        <v>0.5</v>
      </c>
      <c r="H10">
        <v>0.5</v>
      </c>
      <c r="I10">
        <f t="shared" si="0"/>
        <v>0.5</v>
      </c>
      <c r="J10">
        <v>0.33300000000000002</v>
      </c>
      <c r="K10">
        <v>1</v>
      </c>
      <c r="L10">
        <v>524</v>
      </c>
      <c r="M10">
        <f t="shared" si="1"/>
        <v>0.5</v>
      </c>
    </row>
    <row r="11" spans="1:16">
      <c r="A11" t="s">
        <v>51</v>
      </c>
      <c r="B11" s="1" t="s">
        <v>52</v>
      </c>
      <c r="C11" t="s">
        <v>53</v>
      </c>
      <c r="D11" t="s">
        <v>402</v>
      </c>
      <c r="E11" t="s">
        <v>403</v>
      </c>
      <c r="F11" t="s">
        <v>337</v>
      </c>
      <c r="G11">
        <v>0.5</v>
      </c>
      <c r="H11">
        <v>0.5</v>
      </c>
      <c r="I11">
        <f t="shared" si="0"/>
        <v>0.5</v>
      </c>
      <c r="J11">
        <v>0.75</v>
      </c>
      <c r="K11">
        <v>0.5</v>
      </c>
      <c r="L11">
        <v>423</v>
      </c>
      <c r="M11">
        <f t="shared" si="1"/>
        <v>0.6</v>
      </c>
    </row>
    <row r="12" spans="1:16">
      <c r="A12" t="s">
        <v>56</v>
      </c>
      <c r="B12" s="1" t="s">
        <v>46</v>
      </c>
      <c r="C12" t="s">
        <v>47</v>
      </c>
      <c r="D12" t="s">
        <v>153</v>
      </c>
      <c r="E12" t="s">
        <v>404</v>
      </c>
      <c r="F12" t="s">
        <v>401</v>
      </c>
      <c r="G12">
        <v>0.5</v>
      </c>
      <c r="H12">
        <v>0.5</v>
      </c>
      <c r="I12">
        <f t="shared" si="0"/>
        <v>0.5</v>
      </c>
      <c r="J12">
        <v>0.2</v>
      </c>
      <c r="K12">
        <v>1</v>
      </c>
      <c r="L12">
        <v>505</v>
      </c>
      <c r="M12">
        <f t="shared" si="1"/>
        <v>0.33300000000000002</v>
      </c>
    </row>
    <row r="13" spans="1:16">
      <c r="A13" t="s">
        <v>59</v>
      </c>
      <c r="B13" s="1" t="s">
        <v>19</v>
      </c>
      <c r="C13" t="s">
        <v>60</v>
      </c>
      <c r="D13" t="s">
        <v>153</v>
      </c>
      <c r="E13" t="s">
        <v>405</v>
      </c>
      <c r="F13" t="s">
        <v>357</v>
      </c>
      <c r="G13">
        <v>0.5</v>
      </c>
      <c r="H13">
        <v>0.5</v>
      </c>
      <c r="I13">
        <f t="shared" si="0"/>
        <v>0.5</v>
      </c>
      <c r="J13">
        <v>0.5</v>
      </c>
      <c r="K13">
        <v>0.5</v>
      </c>
      <c r="L13">
        <v>483</v>
      </c>
      <c r="M13">
        <f t="shared" si="1"/>
        <v>0.5</v>
      </c>
    </row>
    <row r="14" spans="1:16">
      <c r="A14" t="s">
        <v>63</v>
      </c>
      <c r="B14" s="1" t="s">
        <v>61</v>
      </c>
      <c r="C14" t="s">
        <v>64</v>
      </c>
      <c r="D14" t="s">
        <v>61</v>
      </c>
      <c r="E14" t="s">
        <v>406</v>
      </c>
      <c r="F14" t="s">
        <v>401</v>
      </c>
      <c r="G14">
        <v>1</v>
      </c>
      <c r="H14">
        <v>1</v>
      </c>
      <c r="I14">
        <f t="shared" si="0"/>
        <v>1</v>
      </c>
      <c r="J14">
        <v>0.33300000000000002</v>
      </c>
      <c r="K14">
        <v>0.4</v>
      </c>
      <c r="L14">
        <v>465</v>
      </c>
      <c r="M14">
        <f t="shared" si="1"/>
        <v>0.36299999999999999</v>
      </c>
    </row>
    <row r="15" spans="1:16">
      <c r="A15" t="s">
        <v>66</v>
      </c>
      <c r="B15" s="1" t="s">
        <v>67</v>
      </c>
      <c r="C15" t="s">
        <v>8</v>
      </c>
      <c r="D15" t="s">
        <v>9</v>
      </c>
      <c r="E15" t="s">
        <v>10</v>
      </c>
      <c r="F15" t="s">
        <v>376</v>
      </c>
      <c r="G15">
        <v>1</v>
      </c>
      <c r="H15">
        <v>0.5</v>
      </c>
      <c r="I15">
        <f t="shared" si="0"/>
        <v>0.66666666666666663</v>
      </c>
      <c r="J15">
        <v>0.66700000000000004</v>
      </c>
      <c r="K15">
        <v>0.4</v>
      </c>
      <c r="L15">
        <v>417</v>
      </c>
      <c r="M15">
        <f t="shared" si="1"/>
        <v>0.5</v>
      </c>
    </row>
    <row r="16" spans="1:16">
      <c r="A16" t="s">
        <v>70</v>
      </c>
      <c r="B16" s="1" t="s">
        <v>71</v>
      </c>
      <c r="C16" t="s">
        <v>72</v>
      </c>
      <c r="D16" t="s">
        <v>407</v>
      </c>
      <c r="E16" t="s">
        <v>408</v>
      </c>
      <c r="F16" t="s">
        <v>357</v>
      </c>
      <c r="G16">
        <v>0.33300000000000002</v>
      </c>
      <c r="H16">
        <v>1</v>
      </c>
      <c r="I16">
        <f t="shared" si="0"/>
        <v>0.4996249062265567</v>
      </c>
      <c r="J16">
        <v>0.5</v>
      </c>
      <c r="K16">
        <v>0.5</v>
      </c>
      <c r="L16">
        <v>567</v>
      </c>
      <c r="M16">
        <f t="shared" si="1"/>
        <v>0.5</v>
      </c>
    </row>
    <row r="17" spans="1:13">
      <c r="A17" t="s">
        <v>75</v>
      </c>
      <c r="B17" s="1" t="s">
        <v>19</v>
      </c>
      <c r="C17" t="s">
        <v>76</v>
      </c>
      <c r="D17" t="s">
        <v>48</v>
      </c>
      <c r="E17" t="s">
        <v>409</v>
      </c>
      <c r="F17" t="s">
        <v>401</v>
      </c>
      <c r="G17">
        <v>0.5</v>
      </c>
      <c r="H17">
        <v>0.5</v>
      </c>
      <c r="I17">
        <f t="shared" si="0"/>
        <v>0.5</v>
      </c>
      <c r="J17">
        <v>0.42899999999999999</v>
      </c>
      <c r="K17">
        <v>0.42899999999999999</v>
      </c>
      <c r="L17">
        <v>527</v>
      </c>
      <c r="M17">
        <f t="shared" si="1"/>
        <v>0.42899999999999999</v>
      </c>
    </row>
    <row r="18" spans="1:13">
      <c r="A18" t="s">
        <v>79</v>
      </c>
      <c r="B18" s="1" t="s">
        <v>19</v>
      </c>
      <c r="C18" t="s">
        <v>80</v>
      </c>
      <c r="D18" t="s">
        <v>46</v>
      </c>
      <c r="E18" t="s">
        <v>410</v>
      </c>
      <c r="F18" t="s">
        <v>401</v>
      </c>
      <c r="G18">
        <v>1</v>
      </c>
      <c r="H18">
        <v>1</v>
      </c>
      <c r="I18">
        <f t="shared" si="0"/>
        <v>1</v>
      </c>
      <c r="J18">
        <v>0.125</v>
      </c>
      <c r="K18">
        <v>0.5</v>
      </c>
      <c r="L18">
        <v>579</v>
      </c>
      <c r="M18">
        <f t="shared" si="1"/>
        <v>0.2</v>
      </c>
    </row>
    <row r="19" spans="1:13">
      <c r="A19" t="s">
        <v>84</v>
      </c>
      <c r="B19" s="1" t="s">
        <v>85</v>
      </c>
      <c r="C19" t="s">
        <v>86</v>
      </c>
      <c r="D19" t="s">
        <v>411</v>
      </c>
      <c r="E19" t="s">
        <v>336</v>
      </c>
      <c r="F19" t="s">
        <v>357</v>
      </c>
      <c r="G19">
        <v>0.75</v>
      </c>
      <c r="H19">
        <v>1</v>
      </c>
      <c r="I19">
        <f t="shared" si="0"/>
        <v>0.8571428571428571</v>
      </c>
      <c r="J19">
        <v>1</v>
      </c>
      <c r="K19">
        <v>0.75</v>
      </c>
      <c r="L19">
        <v>535</v>
      </c>
      <c r="M19">
        <f t="shared" si="1"/>
        <v>0.85699999999999998</v>
      </c>
    </row>
    <row r="20" spans="1:13">
      <c r="A20" t="s">
        <v>88</v>
      </c>
      <c r="B20" s="1" t="s">
        <v>655</v>
      </c>
      <c r="C20" t="s">
        <v>38</v>
      </c>
      <c r="D20" t="s">
        <v>37</v>
      </c>
      <c r="E20" t="s">
        <v>412</v>
      </c>
      <c r="F20" t="s">
        <v>357</v>
      </c>
      <c r="G20">
        <v>1</v>
      </c>
      <c r="H20">
        <v>0.5</v>
      </c>
      <c r="I20">
        <f t="shared" si="0"/>
        <v>0.66666666666666663</v>
      </c>
      <c r="J20">
        <v>0.5</v>
      </c>
      <c r="K20">
        <v>1</v>
      </c>
      <c r="L20">
        <v>406</v>
      </c>
      <c r="M20">
        <f t="shared" si="1"/>
        <v>0.66700000000000004</v>
      </c>
    </row>
    <row r="21" spans="1:13">
      <c r="A21" t="s">
        <v>90</v>
      </c>
      <c r="B21" s="1" t="s">
        <v>91</v>
      </c>
      <c r="C21" t="s">
        <v>92</v>
      </c>
      <c r="D21" t="s">
        <v>91</v>
      </c>
      <c r="E21" t="s">
        <v>93</v>
      </c>
      <c r="F21" t="s">
        <v>344</v>
      </c>
      <c r="G21">
        <v>1</v>
      </c>
      <c r="H21">
        <v>1</v>
      </c>
      <c r="I21">
        <f t="shared" si="0"/>
        <v>1</v>
      </c>
      <c r="J21">
        <v>1</v>
      </c>
      <c r="K21">
        <v>1</v>
      </c>
      <c r="L21">
        <v>409</v>
      </c>
      <c r="M21">
        <f t="shared" si="1"/>
        <v>1</v>
      </c>
    </row>
    <row r="22" spans="1:13">
      <c r="A22" t="s">
        <v>94</v>
      </c>
      <c r="B22" s="1" t="s">
        <v>95</v>
      </c>
      <c r="C22" t="s">
        <v>96</v>
      </c>
      <c r="D22" t="s">
        <v>3</v>
      </c>
      <c r="E22" t="s">
        <v>97</v>
      </c>
      <c r="F22" t="s">
        <v>35</v>
      </c>
      <c r="G22">
        <v>1</v>
      </c>
      <c r="H22">
        <v>0.33300000000000002</v>
      </c>
      <c r="I22">
        <f t="shared" si="0"/>
        <v>0.4996249062265567</v>
      </c>
      <c r="J22">
        <v>1</v>
      </c>
      <c r="K22">
        <v>0.25</v>
      </c>
      <c r="L22">
        <v>395</v>
      </c>
      <c r="M22">
        <f t="shared" si="1"/>
        <v>0.4</v>
      </c>
    </row>
    <row r="23" spans="1:13">
      <c r="A23" t="s">
        <v>98</v>
      </c>
      <c r="B23" s="1" t="s">
        <v>61</v>
      </c>
      <c r="C23" t="s">
        <v>99</v>
      </c>
      <c r="D23" t="s">
        <v>413</v>
      </c>
      <c r="E23" t="s">
        <v>34</v>
      </c>
      <c r="F23" t="s">
        <v>35</v>
      </c>
      <c r="G23">
        <v>0</v>
      </c>
      <c r="H23">
        <v>0</v>
      </c>
      <c r="I23">
        <f t="shared" si="0"/>
        <v>0</v>
      </c>
      <c r="J23">
        <v>0</v>
      </c>
      <c r="K23">
        <v>0</v>
      </c>
      <c r="L23">
        <v>418</v>
      </c>
      <c r="M23">
        <f t="shared" si="1"/>
        <v>0</v>
      </c>
    </row>
    <row r="24" spans="1:13">
      <c r="A24" t="s">
        <v>102</v>
      </c>
      <c r="B24" s="1" t="s">
        <v>19</v>
      </c>
      <c r="C24" t="s">
        <v>103</v>
      </c>
      <c r="D24" t="s">
        <v>414</v>
      </c>
      <c r="E24" t="s">
        <v>415</v>
      </c>
      <c r="F24" t="s">
        <v>401</v>
      </c>
      <c r="G24">
        <v>0.5</v>
      </c>
      <c r="H24">
        <v>0.5</v>
      </c>
      <c r="I24">
        <f t="shared" si="0"/>
        <v>0.5</v>
      </c>
      <c r="J24">
        <v>0.2</v>
      </c>
      <c r="K24">
        <v>0.25</v>
      </c>
      <c r="L24">
        <v>485</v>
      </c>
      <c r="M24">
        <f t="shared" si="1"/>
        <v>0.222</v>
      </c>
    </row>
    <row r="25" spans="1:13">
      <c r="A25" t="s">
        <v>105</v>
      </c>
      <c r="B25" s="1" t="s">
        <v>106</v>
      </c>
      <c r="C25" t="s">
        <v>107</v>
      </c>
      <c r="D25" t="s">
        <v>108</v>
      </c>
      <c r="E25" t="s">
        <v>109</v>
      </c>
      <c r="F25" t="s">
        <v>401</v>
      </c>
      <c r="G25">
        <v>1</v>
      </c>
      <c r="H25">
        <v>0.33300000000000002</v>
      </c>
      <c r="I25">
        <f t="shared" si="0"/>
        <v>0.4996249062265567</v>
      </c>
      <c r="J25">
        <v>0.33300000000000002</v>
      </c>
      <c r="K25">
        <v>0.16700000000000001</v>
      </c>
      <c r="L25">
        <v>431</v>
      </c>
      <c r="M25">
        <f t="shared" si="1"/>
        <v>0.222</v>
      </c>
    </row>
    <row r="26" spans="1:13">
      <c r="A26" t="s">
        <v>110</v>
      </c>
      <c r="B26" s="1" t="s">
        <v>19</v>
      </c>
      <c r="C26" t="s">
        <v>47</v>
      </c>
      <c r="D26" t="s">
        <v>48</v>
      </c>
      <c r="E26" t="s">
        <v>416</v>
      </c>
      <c r="F26" t="s">
        <v>401</v>
      </c>
      <c r="G26">
        <v>0.5</v>
      </c>
      <c r="H26">
        <v>0.5</v>
      </c>
      <c r="I26">
        <f t="shared" si="0"/>
        <v>0.5</v>
      </c>
      <c r="J26">
        <v>0.33300000000000002</v>
      </c>
      <c r="K26">
        <v>1</v>
      </c>
      <c r="L26">
        <v>528</v>
      </c>
      <c r="M26">
        <f t="shared" si="1"/>
        <v>0.5</v>
      </c>
    </row>
    <row r="27" spans="1:13">
      <c r="A27" t="s">
        <v>112</v>
      </c>
      <c r="B27" s="1" t="s">
        <v>113</v>
      </c>
      <c r="C27" t="s">
        <v>114</v>
      </c>
      <c r="D27" t="s">
        <v>417</v>
      </c>
      <c r="E27" t="s">
        <v>418</v>
      </c>
      <c r="F27" t="s">
        <v>357</v>
      </c>
      <c r="G27">
        <v>0.5</v>
      </c>
      <c r="H27">
        <v>1</v>
      </c>
      <c r="I27">
        <f t="shared" si="0"/>
        <v>0.66666666666666663</v>
      </c>
      <c r="J27">
        <v>0.5</v>
      </c>
      <c r="K27">
        <v>0.75</v>
      </c>
      <c r="L27">
        <v>517</v>
      </c>
      <c r="M27">
        <f t="shared" si="1"/>
        <v>0.6</v>
      </c>
    </row>
    <row r="28" spans="1:13">
      <c r="A28" t="s">
        <v>117</v>
      </c>
      <c r="B28" s="1" t="s">
        <v>61</v>
      </c>
      <c r="C28" t="s">
        <v>118</v>
      </c>
      <c r="D28" t="s">
        <v>414</v>
      </c>
      <c r="E28" t="s">
        <v>419</v>
      </c>
      <c r="F28" t="s">
        <v>401</v>
      </c>
      <c r="G28">
        <v>0.5</v>
      </c>
      <c r="H28">
        <v>1</v>
      </c>
      <c r="I28">
        <f t="shared" si="0"/>
        <v>0.66666666666666663</v>
      </c>
      <c r="J28">
        <v>0</v>
      </c>
      <c r="K28">
        <v>0</v>
      </c>
      <c r="L28">
        <v>495</v>
      </c>
      <c r="M28">
        <f t="shared" si="1"/>
        <v>0</v>
      </c>
    </row>
    <row r="29" spans="1:13">
      <c r="A29" t="s">
        <v>120</v>
      </c>
      <c r="B29" s="1" t="s">
        <v>61</v>
      </c>
      <c r="C29" t="s">
        <v>121</v>
      </c>
      <c r="D29" t="s">
        <v>48</v>
      </c>
      <c r="E29" t="s">
        <v>420</v>
      </c>
      <c r="F29" t="s">
        <v>401</v>
      </c>
      <c r="G29">
        <v>0.5</v>
      </c>
      <c r="H29">
        <v>1</v>
      </c>
      <c r="I29">
        <f t="shared" si="0"/>
        <v>0.66666666666666663</v>
      </c>
      <c r="J29">
        <v>8.3000000000000004E-2</v>
      </c>
      <c r="K29">
        <v>0.33300000000000002</v>
      </c>
      <c r="L29">
        <v>552</v>
      </c>
      <c r="M29">
        <f t="shared" si="1"/>
        <v>0.13300000000000001</v>
      </c>
    </row>
    <row r="30" spans="1:13">
      <c r="A30" t="s">
        <v>123</v>
      </c>
      <c r="B30" s="1" t="s">
        <v>124</v>
      </c>
      <c r="C30" t="s">
        <v>49</v>
      </c>
      <c r="D30" t="s">
        <v>305</v>
      </c>
      <c r="E30" t="s">
        <v>421</v>
      </c>
      <c r="F30" t="s">
        <v>401</v>
      </c>
      <c r="G30">
        <v>1</v>
      </c>
      <c r="H30">
        <v>0.66700000000000004</v>
      </c>
      <c r="I30">
        <f t="shared" si="0"/>
        <v>0.80023995200959808</v>
      </c>
      <c r="J30">
        <v>0.6</v>
      </c>
      <c r="K30">
        <v>1</v>
      </c>
      <c r="L30">
        <v>519</v>
      </c>
      <c r="M30">
        <f t="shared" si="1"/>
        <v>0.75</v>
      </c>
    </row>
    <row r="31" spans="1:13">
      <c r="A31" t="s">
        <v>125</v>
      </c>
      <c r="B31" s="1" t="s">
        <v>124</v>
      </c>
      <c r="C31" t="s">
        <v>126</v>
      </c>
      <c r="D31" t="s">
        <v>422</v>
      </c>
      <c r="E31" t="s">
        <v>423</v>
      </c>
      <c r="F31" t="s">
        <v>401</v>
      </c>
      <c r="G31">
        <v>0.66700000000000004</v>
      </c>
      <c r="H31">
        <v>0.66700000000000004</v>
      </c>
      <c r="I31">
        <f t="shared" si="0"/>
        <v>0.66700000000000004</v>
      </c>
      <c r="J31">
        <v>0.14299999999999999</v>
      </c>
      <c r="K31">
        <v>0.5</v>
      </c>
      <c r="L31">
        <v>543</v>
      </c>
      <c r="M31">
        <f t="shared" si="1"/>
        <v>0.222</v>
      </c>
    </row>
    <row r="32" spans="1:13">
      <c r="A32" t="s">
        <v>129</v>
      </c>
      <c r="B32" s="1" t="s">
        <v>130</v>
      </c>
      <c r="C32" t="s">
        <v>131</v>
      </c>
      <c r="D32" t="s">
        <v>91</v>
      </c>
      <c r="E32" t="s">
        <v>132</v>
      </c>
      <c r="F32" t="s">
        <v>341</v>
      </c>
      <c r="G32">
        <v>1</v>
      </c>
      <c r="H32">
        <v>0.33300000000000002</v>
      </c>
      <c r="I32">
        <f t="shared" si="0"/>
        <v>0.4996249062265567</v>
      </c>
      <c r="J32">
        <v>0</v>
      </c>
      <c r="K32">
        <v>0</v>
      </c>
      <c r="L32">
        <v>407</v>
      </c>
      <c r="M32">
        <f t="shared" si="1"/>
        <v>0</v>
      </c>
    </row>
    <row r="33" spans="1:13">
      <c r="A33" s="3" t="s">
        <v>133</v>
      </c>
      <c r="B33" s="1" t="s">
        <v>115</v>
      </c>
      <c r="C33" t="s">
        <v>134</v>
      </c>
      <c r="D33" t="s">
        <v>135</v>
      </c>
      <c r="E33" t="s">
        <v>136</v>
      </c>
      <c r="F33" t="s">
        <v>357</v>
      </c>
      <c r="G33">
        <v>0.5</v>
      </c>
      <c r="H33">
        <v>0.5</v>
      </c>
      <c r="I33">
        <f t="shared" si="0"/>
        <v>0.5</v>
      </c>
      <c r="J33">
        <v>0.75</v>
      </c>
      <c r="K33">
        <v>0.6</v>
      </c>
      <c r="L33">
        <v>450</v>
      </c>
      <c r="M33">
        <f t="shared" si="1"/>
        <v>0.66700000000000004</v>
      </c>
    </row>
    <row r="34" spans="1:13">
      <c r="A34" t="s">
        <v>137</v>
      </c>
      <c r="B34" s="1" t="s">
        <v>91</v>
      </c>
      <c r="C34" t="s">
        <v>138</v>
      </c>
      <c r="D34" t="s">
        <v>91</v>
      </c>
      <c r="E34" t="s">
        <v>139</v>
      </c>
      <c r="F34" t="s">
        <v>344</v>
      </c>
      <c r="G34">
        <v>1</v>
      </c>
      <c r="H34">
        <v>1</v>
      </c>
      <c r="I34">
        <f t="shared" ref="I34:I65" si="2">IF(G34+H34=0,0,2*G34*H34/(G34+H34))</f>
        <v>1</v>
      </c>
      <c r="J34">
        <v>0.375</v>
      </c>
      <c r="K34">
        <v>0.6</v>
      </c>
      <c r="L34">
        <v>418</v>
      </c>
      <c r="M34">
        <f t="shared" ref="M34:M65" si="3">IF(J34+K34=0,0,ROUND(2*J34*K34/(J34+K34),3))</f>
        <v>0.46200000000000002</v>
      </c>
    </row>
    <row r="35" spans="1:13">
      <c r="A35" t="s">
        <v>140</v>
      </c>
      <c r="B35" s="1" t="s">
        <v>7</v>
      </c>
      <c r="C35" t="s">
        <v>141</v>
      </c>
      <c r="D35" t="s">
        <v>115</v>
      </c>
      <c r="E35" t="s">
        <v>142</v>
      </c>
      <c r="F35" t="s">
        <v>357</v>
      </c>
      <c r="G35">
        <v>0.5</v>
      </c>
      <c r="H35">
        <v>0.5</v>
      </c>
      <c r="I35">
        <f t="shared" si="2"/>
        <v>0.5</v>
      </c>
      <c r="J35">
        <v>0.85699999999999998</v>
      </c>
      <c r="K35">
        <v>1</v>
      </c>
      <c r="L35">
        <v>498</v>
      </c>
      <c r="M35">
        <f t="shared" si="3"/>
        <v>0.92300000000000004</v>
      </c>
    </row>
    <row r="36" spans="1:13">
      <c r="A36" t="s">
        <v>143</v>
      </c>
      <c r="B36" s="1" t="s">
        <v>3</v>
      </c>
      <c r="C36" t="s">
        <v>97</v>
      </c>
      <c r="D36" t="s">
        <v>3</v>
      </c>
      <c r="E36" t="s">
        <v>373</v>
      </c>
      <c r="F36" t="s">
        <v>5</v>
      </c>
      <c r="G36">
        <v>1</v>
      </c>
      <c r="H36">
        <v>1</v>
      </c>
      <c r="I36">
        <f t="shared" si="2"/>
        <v>1</v>
      </c>
      <c r="J36">
        <v>0.5</v>
      </c>
      <c r="K36">
        <v>1</v>
      </c>
      <c r="L36">
        <v>384</v>
      </c>
      <c r="M36">
        <f t="shared" si="3"/>
        <v>0.66700000000000004</v>
      </c>
    </row>
    <row r="37" spans="1:13">
      <c r="A37" t="s">
        <v>144</v>
      </c>
      <c r="B37" s="1" t="s">
        <v>145</v>
      </c>
      <c r="C37" t="s">
        <v>146</v>
      </c>
      <c r="D37" t="s">
        <v>424</v>
      </c>
      <c r="E37" t="s">
        <v>425</v>
      </c>
      <c r="F37" t="s">
        <v>23</v>
      </c>
      <c r="G37">
        <v>0.5</v>
      </c>
      <c r="H37">
        <v>0.5</v>
      </c>
      <c r="I37">
        <f t="shared" si="2"/>
        <v>0.5</v>
      </c>
      <c r="J37">
        <v>0.33300000000000002</v>
      </c>
      <c r="K37">
        <v>0.5</v>
      </c>
      <c r="L37">
        <v>482</v>
      </c>
      <c r="M37">
        <f t="shared" si="3"/>
        <v>0.4</v>
      </c>
    </row>
    <row r="38" spans="1:13">
      <c r="A38" t="s">
        <v>149</v>
      </c>
      <c r="B38" s="1" t="s">
        <v>61</v>
      </c>
      <c r="C38" t="s">
        <v>150</v>
      </c>
      <c r="D38" t="s">
        <v>61</v>
      </c>
      <c r="E38" t="s">
        <v>426</v>
      </c>
      <c r="F38" t="s">
        <v>401</v>
      </c>
      <c r="G38">
        <v>1</v>
      </c>
      <c r="H38">
        <v>1</v>
      </c>
      <c r="I38">
        <f t="shared" si="2"/>
        <v>1</v>
      </c>
      <c r="J38">
        <v>0.42899999999999999</v>
      </c>
      <c r="K38">
        <v>1</v>
      </c>
      <c r="L38">
        <v>469</v>
      </c>
      <c r="M38">
        <f t="shared" si="3"/>
        <v>0.6</v>
      </c>
    </row>
    <row r="39" spans="1:13">
      <c r="A39" t="s">
        <v>152</v>
      </c>
      <c r="B39" s="1" t="s">
        <v>153</v>
      </c>
      <c r="C39" t="s">
        <v>154</v>
      </c>
      <c r="D39" t="s">
        <v>54</v>
      </c>
      <c r="E39" t="s">
        <v>155</v>
      </c>
      <c r="F39" t="s">
        <v>341</v>
      </c>
      <c r="G39">
        <v>1</v>
      </c>
      <c r="H39">
        <v>0.5</v>
      </c>
      <c r="I39">
        <f t="shared" si="2"/>
        <v>0.66666666666666663</v>
      </c>
      <c r="J39">
        <v>0.5</v>
      </c>
      <c r="K39">
        <v>0.66700000000000004</v>
      </c>
      <c r="L39">
        <v>400</v>
      </c>
      <c r="M39">
        <f t="shared" si="3"/>
        <v>0.57199999999999995</v>
      </c>
    </row>
    <row r="40" spans="1:13">
      <c r="A40" t="s">
        <v>156</v>
      </c>
      <c r="B40" s="1" t="s">
        <v>157</v>
      </c>
      <c r="C40" t="s">
        <v>158</v>
      </c>
      <c r="D40" t="s">
        <v>427</v>
      </c>
      <c r="E40" t="s">
        <v>428</v>
      </c>
      <c r="F40" t="s">
        <v>376</v>
      </c>
      <c r="G40">
        <v>0.5</v>
      </c>
      <c r="H40">
        <v>1</v>
      </c>
      <c r="I40">
        <f t="shared" si="2"/>
        <v>0.66666666666666663</v>
      </c>
      <c r="J40">
        <v>0.8</v>
      </c>
      <c r="K40">
        <v>1</v>
      </c>
      <c r="L40">
        <v>460</v>
      </c>
      <c r="M40">
        <f t="shared" si="3"/>
        <v>0.88900000000000001</v>
      </c>
    </row>
    <row r="41" spans="1:13">
      <c r="A41" t="s">
        <v>161</v>
      </c>
      <c r="B41" s="1" t="s">
        <v>7</v>
      </c>
      <c r="C41" t="s">
        <v>162</v>
      </c>
      <c r="D41" t="s">
        <v>9</v>
      </c>
      <c r="E41" t="s">
        <v>163</v>
      </c>
      <c r="F41" t="s">
        <v>376</v>
      </c>
      <c r="G41">
        <v>1</v>
      </c>
      <c r="H41">
        <v>0.5</v>
      </c>
      <c r="I41">
        <f t="shared" si="2"/>
        <v>0.66666666666666663</v>
      </c>
      <c r="J41">
        <v>1</v>
      </c>
      <c r="K41">
        <v>0.75</v>
      </c>
      <c r="L41">
        <v>417</v>
      </c>
      <c r="M41">
        <f t="shared" si="3"/>
        <v>0.85699999999999998</v>
      </c>
    </row>
    <row r="42" spans="1:13">
      <c r="A42" t="s">
        <v>164</v>
      </c>
      <c r="B42" s="1" t="s">
        <v>165</v>
      </c>
      <c r="C42" t="s">
        <v>166</v>
      </c>
      <c r="D42" t="s">
        <v>429</v>
      </c>
      <c r="E42" t="s">
        <v>22</v>
      </c>
      <c r="F42" t="s">
        <v>23</v>
      </c>
      <c r="G42">
        <v>0</v>
      </c>
      <c r="H42">
        <v>0</v>
      </c>
      <c r="I42">
        <f t="shared" si="2"/>
        <v>0</v>
      </c>
      <c r="J42">
        <v>0</v>
      </c>
      <c r="K42">
        <v>0</v>
      </c>
      <c r="L42">
        <v>454</v>
      </c>
      <c r="M42">
        <f t="shared" si="3"/>
        <v>0</v>
      </c>
    </row>
    <row r="43" spans="1:13">
      <c r="A43" t="s">
        <v>169</v>
      </c>
      <c r="B43" s="1" t="s">
        <v>48</v>
      </c>
      <c r="C43" t="s">
        <v>170</v>
      </c>
      <c r="D43" t="s">
        <v>108</v>
      </c>
      <c r="E43" t="s">
        <v>109</v>
      </c>
      <c r="F43" t="s">
        <v>401</v>
      </c>
      <c r="G43">
        <v>1</v>
      </c>
      <c r="H43">
        <v>0.5</v>
      </c>
      <c r="I43">
        <f t="shared" si="2"/>
        <v>0.66666666666666663</v>
      </c>
      <c r="J43">
        <v>0.66700000000000004</v>
      </c>
      <c r="K43">
        <v>0.4</v>
      </c>
      <c r="L43">
        <v>427</v>
      </c>
      <c r="M43">
        <f t="shared" si="3"/>
        <v>0.5</v>
      </c>
    </row>
    <row r="44" spans="1:13">
      <c r="A44" t="s">
        <v>173</v>
      </c>
      <c r="B44" s="1" t="s">
        <v>19</v>
      </c>
      <c r="C44" t="s">
        <v>174</v>
      </c>
      <c r="D44" t="s">
        <v>54</v>
      </c>
      <c r="E44" t="s">
        <v>430</v>
      </c>
      <c r="G44">
        <v>0</v>
      </c>
      <c r="H44">
        <v>0</v>
      </c>
      <c r="I44">
        <f t="shared" si="2"/>
        <v>0</v>
      </c>
      <c r="J44">
        <v>0</v>
      </c>
      <c r="K44">
        <v>0</v>
      </c>
      <c r="L44">
        <v>409</v>
      </c>
      <c r="M44">
        <f t="shared" si="3"/>
        <v>0</v>
      </c>
    </row>
    <row r="45" spans="1:13">
      <c r="A45" t="s">
        <v>177</v>
      </c>
      <c r="B45" s="1" t="s">
        <v>178</v>
      </c>
      <c r="C45" t="s">
        <v>92</v>
      </c>
      <c r="D45" t="s">
        <v>91</v>
      </c>
      <c r="E45" t="s">
        <v>179</v>
      </c>
      <c r="F45" t="s">
        <v>351</v>
      </c>
      <c r="G45">
        <v>1</v>
      </c>
      <c r="H45">
        <v>0.5</v>
      </c>
      <c r="I45">
        <f t="shared" si="2"/>
        <v>0.66666666666666663</v>
      </c>
      <c r="J45">
        <v>1</v>
      </c>
      <c r="K45">
        <v>0.6</v>
      </c>
      <c r="L45">
        <v>402</v>
      </c>
      <c r="M45">
        <f t="shared" si="3"/>
        <v>0.75</v>
      </c>
    </row>
    <row r="46" spans="1:13">
      <c r="A46" t="s">
        <v>180</v>
      </c>
      <c r="B46" s="1" t="s">
        <v>61</v>
      </c>
      <c r="C46" t="s">
        <v>49</v>
      </c>
      <c r="D46" t="s">
        <v>305</v>
      </c>
      <c r="E46" t="s">
        <v>431</v>
      </c>
      <c r="F46" t="s">
        <v>401</v>
      </c>
      <c r="G46">
        <v>0.5</v>
      </c>
      <c r="H46">
        <v>1</v>
      </c>
      <c r="I46">
        <f t="shared" si="2"/>
        <v>0.66666666666666663</v>
      </c>
      <c r="J46">
        <v>0.4</v>
      </c>
      <c r="K46">
        <v>0.66700000000000004</v>
      </c>
      <c r="L46">
        <v>525</v>
      </c>
      <c r="M46">
        <f t="shared" si="3"/>
        <v>0.5</v>
      </c>
    </row>
    <row r="47" spans="1:13">
      <c r="A47" t="s">
        <v>182</v>
      </c>
      <c r="B47" s="1" t="s">
        <v>183</v>
      </c>
      <c r="C47" t="s">
        <v>184</v>
      </c>
      <c r="D47" t="s">
        <v>432</v>
      </c>
      <c r="E47" t="s">
        <v>366</v>
      </c>
      <c r="F47" t="s">
        <v>341</v>
      </c>
      <c r="G47">
        <v>0.5</v>
      </c>
      <c r="H47">
        <v>0.5</v>
      </c>
      <c r="I47">
        <f t="shared" si="2"/>
        <v>0.5</v>
      </c>
      <c r="J47">
        <v>1</v>
      </c>
      <c r="K47">
        <v>0.75</v>
      </c>
      <c r="L47">
        <v>412</v>
      </c>
      <c r="M47">
        <f t="shared" si="3"/>
        <v>0.85699999999999998</v>
      </c>
    </row>
    <row r="48" spans="1:13">
      <c r="A48" t="s">
        <v>186</v>
      </c>
      <c r="B48" s="1" t="s">
        <v>61</v>
      </c>
      <c r="C48" t="s">
        <v>187</v>
      </c>
      <c r="D48" t="s">
        <v>25</v>
      </c>
      <c r="E48" t="s">
        <v>55</v>
      </c>
      <c r="F48" t="s">
        <v>341</v>
      </c>
      <c r="G48">
        <v>0</v>
      </c>
      <c r="H48">
        <v>0</v>
      </c>
      <c r="I48">
        <f t="shared" si="2"/>
        <v>0</v>
      </c>
      <c r="J48">
        <v>0</v>
      </c>
      <c r="K48">
        <v>0</v>
      </c>
      <c r="L48">
        <v>409</v>
      </c>
      <c r="M48">
        <f t="shared" si="3"/>
        <v>0</v>
      </c>
    </row>
    <row r="49" spans="1:13">
      <c r="A49" t="s">
        <v>188</v>
      </c>
      <c r="B49" s="1" t="s">
        <v>48</v>
      </c>
      <c r="C49" t="s">
        <v>189</v>
      </c>
      <c r="D49" t="s">
        <v>305</v>
      </c>
      <c r="E49" t="s">
        <v>433</v>
      </c>
      <c r="F49" t="s">
        <v>401</v>
      </c>
      <c r="G49">
        <v>1</v>
      </c>
      <c r="H49">
        <v>1</v>
      </c>
      <c r="I49">
        <f t="shared" si="2"/>
        <v>1</v>
      </c>
      <c r="J49">
        <v>0.55600000000000005</v>
      </c>
      <c r="K49">
        <v>0.75</v>
      </c>
      <c r="L49">
        <v>534</v>
      </c>
      <c r="M49">
        <f t="shared" si="3"/>
        <v>0.63900000000000001</v>
      </c>
    </row>
    <row r="50" spans="1:13">
      <c r="A50" t="s">
        <v>192</v>
      </c>
      <c r="B50" s="1" t="s">
        <v>157</v>
      </c>
      <c r="C50" t="s">
        <v>193</v>
      </c>
      <c r="D50" t="s">
        <v>194</v>
      </c>
      <c r="E50" t="s">
        <v>434</v>
      </c>
      <c r="F50" t="s">
        <v>357</v>
      </c>
      <c r="G50">
        <v>0.5</v>
      </c>
      <c r="H50">
        <v>1</v>
      </c>
      <c r="I50">
        <f t="shared" si="2"/>
        <v>0.66666666666666663</v>
      </c>
      <c r="J50">
        <v>0.8</v>
      </c>
      <c r="K50">
        <v>1</v>
      </c>
      <c r="L50">
        <v>457</v>
      </c>
      <c r="M50">
        <f t="shared" si="3"/>
        <v>0.88900000000000001</v>
      </c>
    </row>
    <row r="51" spans="1:13">
      <c r="A51" t="s">
        <v>196</v>
      </c>
      <c r="B51" s="1" t="s">
        <v>7</v>
      </c>
      <c r="C51" t="s">
        <v>162</v>
      </c>
      <c r="D51" t="s">
        <v>9</v>
      </c>
      <c r="E51" t="s">
        <v>197</v>
      </c>
      <c r="F51" t="s">
        <v>376</v>
      </c>
      <c r="G51">
        <v>1</v>
      </c>
      <c r="H51">
        <v>0.5</v>
      </c>
      <c r="I51">
        <f t="shared" si="2"/>
        <v>0.66666666666666663</v>
      </c>
      <c r="J51">
        <v>1</v>
      </c>
      <c r="K51">
        <v>0.5</v>
      </c>
      <c r="L51">
        <v>417</v>
      </c>
      <c r="M51">
        <f t="shared" si="3"/>
        <v>0.66700000000000004</v>
      </c>
    </row>
    <row r="52" spans="1:13">
      <c r="A52" t="s">
        <v>198</v>
      </c>
      <c r="B52" s="1" t="s">
        <v>199</v>
      </c>
      <c r="C52" t="s">
        <v>200</v>
      </c>
      <c r="D52" t="s">
        <v>435</v>
      </c>
      <c r="E52" t="s">
        <v>436</v>
      </c>
      <c r="F52" t="s">
        <v>357</v>
      </c>
      <c r="G52">
        <v>1</v>
      </c>
      <c r="H52">
        <v>0.33300000000000002</v>
      </c>
      <c r="I52">
        <f t="shared" si="2"/>
        <v>0.4996249062265567</v>
      </c>
      <c r="J52">
        <v>0.4</v>
      </c>
      <c r="K52">
        <v>0.5</v>
      </c>
      <c r="L52">
        <v>413</v>
      </c>
      <c r="M52">
        <f t="shared" si="3"/>
        <v>0.44400000000000001</v>
      </c>
    </row>
    <row r="53" spans="1:13">
      <c r="A53" t="s">
        <v>203</v>
      </c>
      <c r="B53" s="1" t="s">
        <v>25</v>
      </c>
      <c r="C53" t="s">
        <v>204</v>
      </c>
      <c r="D53" t="s">
        <v>54</v>
      </c>
      <c r="E53" t="s">
        <v>206</v>
      </c>
      <c r="F53" t="s">
        <v>341</v>
      </c>
      <c r="G53">
        <v>1</v>
      </c>
      <c r="H53">
        <v>0.5</v>
      </c>
      <c r="I53">
        <f t="shared" si="2"/>
        <v>0.66666666666666663</v>
      </c>
      <c r="J53">
        <v>0.75</v>
      </c>
      <c r="K53">
        <v>0.75</v>
      </c>
      <c r="L53">
        <v>399</v>
      </c>
      <c r="M53">
        <f t="shared" si="3"/>
        <v>0.75</v>
      </c>
    </row>
    <row r="54" spans="1:13">
      <c r="A54" t="s">
        <v>207</v>
      </c>
      <c r="B54" s="1" t="s">
        <v>1</v>
      </c>
      <c r="C54" t="s">
        <v>208</v>
      </c>
      <c r="D54" t="s">
        <v>437</v>
      </c>
      <c r="E54" t="s">
        <v>438</v>
      </c>
      <c r="F54" t="s">
        <v>357</v>
      </c>
      <c r="G54">
        <v>0.5</v>
      </c>
      <c r="H54">
        <v>0.5</v>
      </c>
      <c r="I54">
        <f t="shared" si="2"/>
        <v>0.5</v>
      </c>
      <c r="J54">
        <v>0</v>
      </c>
      <c r="K54">
        <v>0</v>
      </c>
      <c r="L54">
        <v>494</v>
      </c>
      <c r="M54">
        <f t="shared" si="3"/>
        <v>0</v>
      </c>
    </row>
    <row r="55" spans="1:13">
      <c r="A55" t="s">
        <v>209</v>
      </c>
      <c r="B55" s="1" t="s">
        <v>113</v>
      </c>
      <c r="C55" t="s">
        <v>210</v>
      </c>
      <c r="D55" t="s">
        <v>439</v>
      </c>
      <c r="E55" t="s">
        <v>440</v>
      </c>
      <c r="F55" t="s">
        <v>376</v>
      </c>
      <c r="G55">
        <v>0</v>
      </c>
      <c r="H55">
        <v>0</v>
      </c>
      <c r="I55">
        <f t="shared" si="2"/>
        <v>0</v>
      </c>
      <c r="J55">
        <v>0.222</v>
      </c>
      <c r="K55">
        <v>0.5</v>
      </c>
      <c r="L55">
        <v>388</v>
      </c>
      <c r="M55">
        <f t="shared" si="3"/>
        <v>0.307</v>
      </c>
    </row>
    <row r="56" spans="1:13">
      <c r="A56" t="s">
        <v>212</v>
      </c>
      <c r="B56" s="1" t="s">
        <v>67</v>
      </c>
      <c r="C56" t="s">
        <v>213</v>
      </c>
      <c r="D56" t="s">
        <v>441</v>
      </c>
      <c r="E56" t="s">
        <v>211</v>
      </c>
      <c r="F56" t="s">
        <v>376</v>
      </c>
      <c r="G56">
        <v>0.5</v>
      </c>
      <c r="H56">
        <v>0.5</v>
      </c>
      <c r="I56">
        <f t="shared" si="2"/>
        <v>0.5</v>
      </c>
      <c r="J56">
        <v>1</v>
      </c>
      <c r="K56">
        <v>0.75</v>
      </c>
      <c r="L56">
        <v>429</v>
      </c>
      <c r="M56">
        <f t="shared" si="3"/>
        <v>0.85699999999999998</v>
      </c>
    </row>
    <row r="57" spans="1:13">
      <c r="A57" t="s">
        <v>215</v>
      </c>
      <c r="B57" s="1" t="s">
        <v>216</v>
      </c>
      <c r="C57" t="s">
        <v>217</v>
      </c>
      <c r="D57" t="s">
        <v>171</v>
      </c>
      <c r="E57" t="s">
        <v>22</v>
      </c>
      <c r="F57" t="s">
        <v>23</v>
      </c>
      <c r="G57">
        <v>0.5</v>
      </c>
      <c r="H57">
        <v>0.33300000000000002</v>
      </c>
      <c r="I57">
        <f t="shared" si="2"/>
        <v>0.39975990396158467</v>
      </c>
      <c r="J57">
        <v>1</v>
      </c>
      <c r="K57">
        <v>0.5</v>
      </c>
      <c r="L57">
        <v>528</v>
      </c>
      <c r="M57">
        <f t="shared" si="3"/>
        <v>0.66700000000000004</v>
      </c>
    </row>
    <row r="58" spans="1:13">
      <c r="A58" t="s">
        <v>218</v>
      </c>
      <c r="B58" s="1" t="s">
        <v>656</v>
      </c>
      <c r="C58" t="s">
        <v>22</v>
      </c>
      <c r="D58" t="s">
        <v>91</v>
      </c>
      <c r="E58" t="s">
        <v>22</v>
      </c>
      <c r="F58" t="s">
        <v>23</v>
      </c>
      <c r="G58">
        <v>1</v>
      </c>
      <c r="H58">
        <v>0.33300000000000002</v>
      </c>
      <c r="I58">
        <f t="shared" si="2"/>
        <v>0.4996249062265567</v>
      </c>
      <c r="J58">
        <v>1</v>
      </c>
      <c r="K58">
        <v>1</v>
      </c>
      <c r="L58">
        <v>401</v>
      </c>
      <c r="M58">
        <f t="shared" si="3"/>
        <v>1</v>
      </c>
    </row>
    <row r="59" spans="1:13">
      <c r="A59" t="s">
        <v>219</v>
      </c>
      <c r="B59" s="1" t="s">
        <v>220</v>
      </c>
      <c r="C59" t="s">
        <v>221</v>
      </c>
      <c r="D59" t="s">
        <v>13</v>
      </c>
      <c r="E59" t="s">
        <v>221</v>
      </c>
      <c r="F59" t="s">
        <v>222</v>
      </c>
      <c r="G59">
        <v>0</v>
      </c>
      <c r="H59">
        <v>0</v>
      </c>
      <c r="I59">
        <f t="shared" si="2"/>
        <v>0</v>
      </c>
      <c r="J59">
        <v>1</v>
      </c>
      <c r="K59">
        <v>1</v>
      </c>
      <c r="L59">
        <v>420</v>
      </c>
      <c r="M59">
        <f t="shared" si="3"/>
        <v>1</v>
      </c>
    </row>
    <row r="60" spans="1:13">
      <c r="A60" t="s">
        <v>223</v>
      </c>
      <c r="B60" s="1" t="s">
        <v>7</v>
      </c>
      <c r="C60" t="s">
        <v>213</v>
      </c>
      <c r="D60" t="s">
        <v>115</v>
      </c>
      <c r="E60" t="s">
        <v>442</v>
      </c>
      <c r="F60" t="s">
        <v>376</v>
      </c>
      <c r="G60">
        <v>0.5</v>
      </c>
      <c r="H60">
        <v>0.5</v>
      </c>
      <c r="I60">
        <f t="shared" si="2"/>
        <v>0.5</v>
      </c>
      <c r="J60">
        <v>0.71399999999999997</v>
      </c>
      <c r="K60">
        <v>0.75</v>
      </c>
      <c r="L60">
        <v>499</v>
      </c>
      <c r="M60">
        <f t="shared" si="3"/>
        <v>0.73199999999999998</v>
      </c>
    </row>
    <row r="61" spans="1:13">
      <c r="A61" t="s">
        <v>224</v>
      </c>
      <c r="B61" s="1" t="s">
        <v>225</v>
      </c>
      <c r="C61" t="s">
        <v>226</v>
      </c>
      <c r="D61" t="s">
        <v>443</v>
      </c>
      <c r="E61" t="s">
        <v>444</v>
      </c>
      <c r="F61" t="s">
        <v>341</v>
      </c>
      <c r="G61">
        <v>0.66700000000000004</v>
      </c>
      <c r="H61">
        <v>1</v>
      </c>
      <c r="I61">
        <f t="shared" si="2"/>
        <v>0.80023995200959808</v>
      </c>
      <c r="J61">
        <v>1</v>
      </c>
      <c r="K61">
        <v>0.75</v>
      </c>
      <c r="L61">
        <v>597</v>
      </c>
      <c r="M61">
        <f t="shared" si="3"/>
        <v>0.85699999999999998</v>
      </c>
    </row>
    <row r="62" spans="1:13">
      <c r="A62" t="s">
        <v>228</v>
      </c>
      <c r="B62" s="1" t="s">
        <v>229</v>
      </c>
      <c r="C62" t="s">
        <v>230</v>
      </c>
      <c r="D62" t="s">
        <v>147</v>
      </c>
      <c r="E62" t="s">
        <v>445</v>
      </c>
      <c r="F62" t="s">
        <v>357</v>
      </c>
      <c r="G62">
        <v>0.5</v>
      </c>
      <c r="H62">
        <v>0.5</v>
      </c>
      <c r="I62">
        <f t="shared" si="2"/>
        <v>0.5</v>
      </c>
      <c r="J62">
        <v>0.33300000000000002</v>
      </c>
      <c r="K62">
        <v>0.5</v>
      </c>
      <c r="L62">
        <v>487</v>
      </c>
      <c r="M62">
        <f t="shared" si="3"/>
        <v>0.4</v>
      </c>
    </row>
    <row r="63" spans="1:13">
      <c r="A63" t="s">
        <v>232</v>
      </c>
      <c r="B63" s="1" t="s">
        <v>61</v>
      </c>
      <c r="C63" t="s">
        <v>233</v>
      </c>
      <c r="D63" t="s">
        <v>153</v>
      </c>
      <c r="E63" t="s">
        <v>446</v>
      </c>
      <c r="F63" t="s">
        <v>401</v>
      </c>
      <c r="G63">
        <v>0.5</v>
      </c>
      <c r="H63">
        <v>1</v>
      </c>
      <c r="I63">
        <f t="shared" si="2"/>
        <v>0.66666666666666663</v>
      </c>
      <c r="J63">
        <v>0.33300000000000002</v>
      </c>
      <c r="K63">
        <v>0.5</v>
      </c>
      <c r="L63">
        <v>514</v>
      </c>
      <c r="M63">
        <f t="shared" si="3"/>
        <v>0.4</v>
      </c>
    </row>
    <row r="64" spans="1:13">
      <c r="A64" t="s">
        <v>235</v>
      </c>
      <c r="B64" s="1" t="s">
        <v>236</v>
      </c>
      <c r="C64" t="s">
        <v>237</v>
      </c>
      <c r="D64" t="s">
        <v>277</v>
      </c>
      <c r="E64" t="s">
        <v>118</v>
      </c>
      <c r="F64" t="s">
        <v>341</v>
      </c>
      <c r="G64">
        <v>1</v>
      </c>
      <c r="H64">
        <v>0.33300000000000002</v>
      </c>
      <c r="I64">
        <f t="shared" si="2"/>
        <v>0.4996249062265567</v>
      </c>
      <c r="J64">
        <v>0</v>
      </c>
      <c r="K64">
        <v>0</v>
      </c>
      <c r="L64">
        <v>391</v>
      </c>
      <c r="M64">
        <f t="shared" si="3"/>
        <v>0</v>
      </c>
    </row>
    <row r="65" spans="1:13">
      <c r="A65" t="s">
        <v>240</v>
      </c>
      <c r="B65" s="1" t="s">
        <v>220</v>
      </c>
      <c r="C65" t="s">
        <v>221</v>
      </c>
      <c r="D65" t="s">
        <v>13</v>
      </c>
      <c r="E65" t="s">
        <v>447</v>
      </c>
      <c r="F65" t="s">
        <v>344</v>
      </c>
      <c r="G65">
        <v>0</v>
      </c>
      <c r="H65">
        <v>0</v>
      </c>
      <c r="I65">
        <f t="shared" si="2"/>
        <v>0</v>
      </c>
      <c r="J65">
        <v>0.33300000000000002</v>
      </c>
      <c r="K65">
        <v>1</v>
      </c>
      <c r="L65">
        <v>428</v>
      </c>
      <c r="M65">
        <f t="shared" si="3"/>
        <v>0.5</v>
      </c>
    </row>
    <row r="66" spans="1:13">
      <c r="A66" t="s">
        <v>242</v>
      </c>
      <c r="B66" s="1" t="s">
        <v>25</v>
      </c>
      <c r="C66" t="s">
        <v>243</v>
      </c>
      <c r="D66" t="s">
        <v>27</v>
      </c>
      <c r="E66" t="s">
        <v>448</v>
      </c>
      <c r="F66" t="s">
        <v>341</v>
      </c>
      <c r="G66">
        <v>0.5</v>
      </c>
      <c r="H66">
        <v>0.5</v>
      </c>
      <c r="I66">
        <f t="shared" ref="I66:I97" si="4">IF(G66+H66=0,0,2*G66*H66/(G66+H66))</f>
        <v>0.5</v>
      </c>
      <c r="J66">
        <v>0.66700000000000004</v>
      </c>
      <c r="K66">
        <v>0.5</v>
      </c>
      <c r="L66">
        <v>492</v>
      </c>
      <c r="M66">
        <f t="shared" ref="M66:M94" si="5">IF(J66+K66=0,0,ROUND(2*J66*K66/(J66+K66),3))</f>
        <v>0.57199999999999995</v>
      </c>
    </row>
    <row r="67" spans="1:13">
      <c r="A67" t="s">
        <v>244</v>
      </c>
      <c r="B67" s="1" t="s">
        <v>245</v>
      </c>
      <c r="C67" t="s">
        <v>246</v>
      </c>
      <c r="D67" t="s">
        <v>299</v>
      </c>
      <c r="E67" t="s">
        <v>34</v>
      </c>
      <c r="F67" t="s">
        <v>35</v>
      </c>
      <c r="G67">
        <v>0.5</v>
      </c>
      <c r="H67">
        <v>0.5</v>
      </c>
      <c r="I67">
        <f t="shared" si="4"/>
        <v>0.5</v>
      </c>
      <c r="J67">
        <v>0</v>
      </c>
      <c r="K67">
        <v>0</v>
      </c>
      <c r="L67">
        <v>420</v>
      </c>
      <c r="M67">
        <f t="shared" si="5"/>
        <v>0</v>
      </c>
    </row>
    <row r="68" spans="1:13">
      <c r="A68" t="s">
        <v>249</v>
      </c>
      <c r="B68" s="1" t="s">
        <v>54</v>
      </c>
      <c r="C68" t="s">
        <v>250</v>
      </c>
      <c r="D68" t="s">
        <v>449</v>
      </c>
      <c r="E68" t="s">
        <v>256</v>
      </c>
      <c r="F68" t="s">
        <v>354</v>
      </c>
      <c r="G68">
        <v>0</v>
      </c>
      <c r="H68">
        <v>0</v>
      </c>
      <c r="I68">
        <f t="shared" si="4"/>
        <v>0</v>
      </c>
      <c r="J68">
        <v>1</v>
      </c>
      <c r="K68">
        <v>0.75</v>
      </c>
      <c r="L68">
        <v>409</v>
      </c>
      <c r="M68">
        <f t="shared" si="5"/>
        <v>0.85699999999999998</v>
      </c>
    </row>
    <row r="69" spans="1:13">
      <c r="A69" t="s">
        <v>253</v>
      </c>
      <c r="B69" s="1" t="s">
        <v>254</v>
      </c>
      <c r="C69" t="s">
        <v>255</v>
      </c>
      <c r="D69" t="s">
        <v>450</v>
      </c>
      <c r="E69" t="s">
        <v>451</v>
      </c>
      <c r="F69" t="s">
        <v>354</v>
      </c>
      <c r="G69">
        <v>0.5</v>
      </c>
      <c r="H69">
        <v>0.5</v>
      </c>
      <c r="I69">
        <f t="shared" si="4"/>
        <v>0.5</v>
      </c>
      <c r="J69">
        <v>0.5</v>
      </c>
      <c r="K69">
        <v>0.5</v>
      </c>
      <c r="L69">
        <v>484</v>
      </c>
      <c r="M69">
        <f t="shared" si="5"/>
        <v>0.5</v>
      </c>
    </row>
    <row r="70" spans="1:13">
      <c r="A70" t="s">
        <v>257</v>
      </c>
      <c r="B70" s="1" t="s">
        <v>7</v>
      </c>
      <c r="C70" t="s">
        <v>258</v>
      </c>
      <c r="D70" t="s">
        <v>67</v>
      </c>
      <c r="E70" t="s">
        <v>377</v>
      </c>
      <c r="F70" t="s">
        <v>357</v>
      </c>
      <c r="G70">
        <v>1</v>
      </c>
      <c r="H70">
        <v>1</v>
      </c>
      <c r="I70">
        <f t="shared" si="4"/>
        <v>1</v>
      </c>
      <c r="J70">
        <v>1</v>
      </c>
      <c r="K70">
        <v>0.66700000000000004</v>
      </c>
      <c r="L70">
        <v>473</v>
      </c>
      <c r="M70">
        <f t="shared" si="5"/>
        <v>0.8</v>
      </c>
    </row>
    <row r="71" spans="1:13">
      <c r="A71" t="s">
        <v>261</v>
      </c>
      <c r="B71" s="1" t="s">
        <v>25</v>
      </c>
      <c r="C71" t="s">
        <v>118</v>
      </c>
      <c r="D71" t="s">
        <v>452</v>
      </c>
      <c r="E71" t="s">
        <v>262</v>
      </c>
      <c r="F71" t="s">
        <v>341</v>
      </c>
      <c r="G71">
        <v>0.5</v>
      </c>
      <c r="H71">
        <v>0.5</v>
      </c>
      <c r="I71">
        <f t="shared" si="4"/>
        <v>0.5</v>
      </c>
      <c r="J71">
        <v>0.66700000000000004</v>
      </c>
      <c r="K71">
        <v>1</v>
      </c>
      <c r="L71">
        <v>401</v>
      </c>
      <c r="M71">
        <f t="shared" si="5"/>
        <v>0.8</v>
      </c>
    </row>
    <row r="72" spans="1:13">
      <c r="A72" t="s">
        <v>18</v>
      </c>
      <c r="B72" s="1" t="s">
        <v>46</v>
      </c>
      <c r="C72" t="s">
        <v>22</v>
      </c>
      <c r="D72" t="s">
        <v>19</v>
      </c>
      <c r="E72" t="s">
        <v>20</v>
      </c>
      <c r="F72" t="s">
        <v>23</v>
      </c>
      <c r="G72">
        <v>1</v>
      </c>
      <c r="H72">
        <v>1</v>
      </c>
      <c r="I72">
        <f t="shared" si="4"/>
        <v>1</v>
      </c>
      <c r="J72">
        <v>0.5</v>
      </c>
      <c r="K72">
        <v>1</v>
      </c>
      <c r="L72">
        <v>562</v>
      </c>
      <c r="M72">
        <f t="shared" si="5"/>
        <v>0.66700000000000004</v>
      </c>
    </row>
    <row r="73" spans="1:13">
      <c r="A73" t="s">
        <v>264</v>
      </c>
      <c r="B73" s="1" t="s">
        <v>46</v>
      </c>
      <c r="C73" t="s">
        <v>265</v>
      </c>
      <c r="D73" t="s">
        <v>46</v>
      </c>
      <c r="E73" t="s">
        <v>111</v>
      </c>
      <c r="F73" t="s">
        <v>401</v>
      </c>
      <c r="G73">
        <v>1</v>
      </c>
      <c r="H73">
        <v>1</v>
      </c>
      <c r="I73">
        <f t="shared" si="4"/>
        <v>1</v>
      </c>
      <c r="J73">
        <v>0.2</v>
      </c>
      <c r="K73">
        <v>1</v>
      </c>
      <c r="L73">
        <v>563</v>
      </c>
      <c r="M73">
        <f t="shared" si="5"/>
        <v>0.33300000000000002</v>
      </c>
    </row>
    <row r="74" spans="1:13">
      <c r="A74" t="s">
        <v>267</v>
      </c>
      <c r="B74" s="1" t="s">
        <v>19</v>
      </c>
      <c r="C74" t="s">
        <v>268</v>
      </c>
      <c r="D74" t="s">
        <v>453</v>
      </c>
      <c r="E74" t="s">
        <v>62</v>
      </c>
      <c r="F74" t="s">
        <v>357</v>
      </c>
      <c r="G74">
        <v>0.5</v>
      </c>
      <c r="H74">
        <v>0.5</v>
      </c>
      <c r="I74">
        <f t="shared" si="4"/>
        <v>0.5</v>
      </c>
      <c r="J74">
        <v>0.5</v>
      </c>
      <c r="K74">
        <v>0.33300000000000002</v>
      </c>
      <c r="L74">
        <v>502</v>
      </c>
      <c r="M74">
        <f t="shared" si="5"/>
        <v>0.4</v>
      </c>
    </row>
    <row r="75" spans="1:13">
      <c r="A75" t="s">
        <v>270</v>
      </c>
      <c r="B75" s="1" t="s">
        <v>271</v>
      </c>
      <c r="C75" t="s">
        <v>272</v>
      </c>
      <c r="D75" t="s">
        <v>454</v>
      </c>
      <c r="E75" t="s">
        <v>455</v>
      </c>
      <c r="F75" t="s">
        <v>357</v>
      </c>
      <c r="G75">
        <v>0.66700000000000004</v>
      </c>
      <c r="H75">
        <v>0.66700000000000004</v>
      </c>
      <c r="I75">
        <f t="shared" si="4"/>
        <v>0.66700000000000004</v>
      </c>
      <c r="J75">
        <v>0.5</v>
      </c>
      <c r="K75">
        <v>0.4</v>
      </c>
      <c r="L75">
        <v>532</v>
      </c>
      <c r="M75">
        <f t="shared" si="5"/>
        <v>0.44400000000000001</v>
      </c>
    </row>
    <row r="76" spans="1:13">
      <c r="A76" t="s">
        <v>275</v>
      </c>
      <c r="B76" s="1" t="s">
        <v>236</v>
      </c>
      <c r="C76" t="s">
        <v>237</v>
      </c>
      <c r="D76" t="s">
        <v>277</v>
      </c>
      <c r="E76" t="s">
        <v>278</v>
      </c>
      <c r="F76" t="s">
        <v>341</v>
      </c>
      <c r="G76">
        <v>1</v>
      </c>
      <c r="H76">
        <v>0.33300000000000002</v>
      </c>
      <c r="I76">
        <f t="shared" si="4"/>
        <v>0.4996249062265567</v>
      </c>
      <c r="J76">
        <v>0.25</v>
      </c>
      <c r="K76">
        <v>0.5</v>
      </c>
      <c r="L76">
        <v>412</v>
      </c>
      <c r="M76">
        <f t="shared" si="5"/>
        <v>0.33300000000000002</v>
      </c>
    </row>
    <row r="77" spans="1:13">
      <c r="A77" t="s">
        <v>279</v>
      </c>
      <c r="B77" s="1" t="s">
        <v>54</v>
      </c>
      <c r="C77" t="s">
        <v>280</v>
      </c>
      <c r="D77" t="s">
        <v>54</v>
      </c>
      <c r="E77" t="s">
        <v>340</v>
      </c>
      <c r="F77" t="s">
        <v>341</v>
      </c>
      <c r="G77">
        <v>1</v>
      </c>
      <c r="H77">
        <v>1</v>
      </c>
      <c r="I77">
        <f t="shared" si="4"/>
        <v>1</v>
      </c>
      <c r="J77">
        <v>0.4</v>
      </c>
      <c r="K77">
        <v>0.66700000000000004</v>
      </c>
      <c r="L77">
        <v>411</v>
      </c>
      <c r="M77">
        <f t="shared" si="5"/>
        <v>0.5</v>
      </c>
    </row>
    <row r="78" spans="1:13">
      <c r="A78" t="s">
        <v>282</v>
      </c>
      <c r="B78" s="1" t="s">
        <v>283</v>
      </c>
      <c r="C78" t="s">
        <v>284</v>
      </c>
      <c r="D78" t="s">
        <v>456</v>
      </c>
      <c r="E78" t="s">
        <v>457</v>
      </c>
      <c r="F78" t="s">
        <v>357</v>
      </c>
      <c r="G78">
        <v>0</v>
      </c>
      <c r="H78">
        <v>0</v>
      </c>
      <c r="I78">
        <f t="shared" si="4"/>
        <v>0</v>
      </c>
      <c r="J78">
        <v>0.66700000000000004</v>
      </c>
      <c r="K78">
        <v>1</v>
      </c>
      <c r="L78">
        <v>419</v>
      </c>
      <c r="M78">
        <f t="shared" si="5"/>
        <v>0.8</v>
      </c>
    </row>
    <row r="79" spans="1:13">
      <c r="A79" t="s">
        <v>287</v>
      </c>
      <c r="B79" s="1" t="s">
        <v>7</v>
      </c>
      <c r="C79" t="s">
        <v>288</v>
      </c>
      <c r="D79" t="s">
        <v>9</v>
      </c>
      <c r="E79" t="s">
        <v>289</v>
      </c>
      <c r="F79" t="s">
        <v>357</v>
      </c>
      <c r="G79">
        <v>1</v>
      </c>
      <c r="H79">
        <v>0.5</v>
      </c>
      <c r="I79">
        <f t="shared" si="4"/>
        <v>0.66666666666666663</v>
      </c>
      <c r="J79">
        <v>0.75</v>
      </c>
      <c r="K79">
        <v>0.75</v>
      </c>
      <c r="L79">
        <v>419</v>
      </c>
      <c r="M79">
        <f t="shared" si="5"/>
        <v>0.75</v>
      </c>
    </row>
    <row r="80" spans="1:13">
      <c r="A80" t="s">
        <v>290</v>
      </c>
      <c r="B80" s="1" t="s">
        <v>291</v>
      </c>
      <c r="C80" t="s">
        <v>292</v>
      </c>
      <c r="D80" t="s">
        <v>458</v>
      </c>
      <c r="E80" t="s">
        <v>293</v>
      </c>
      <c r="F80" t="s">
        <v>376</v>
      </c>
      <c r="G80">
        <v>0.5</v>
      </c>
      <c r="H80">
        <v>0.5</v>
      </c>
      <c r="I80">
        <f t="shared" si="4"/>
        <v>0.5</v>
      </c>
      <c r="J80">
        <v>0.66700000000000004</v>
      </c>
      <c r="K80">
        <v>0.5</v>
      </c>
      <c r="L80">
        <v>456</v>
      </c>
      <c r="M80">
        <f t="shared" si="5"/>
        <v>0.57199999999999995</v>
      </c>
    </row>
    <row r="81" spans="1:13">
      <c r="A81" s="3" t="s">
        <v>294</v>
      </c>
      <c r="B81" s="1" t="s">
        <v>295</v>
      </c>
      <c r="C81" t="s">
        <v>284</v>
      </c>
      <c r="D81" t="s">
        <v>113</v>
      </c>
      <c r="E81" t="s">
        <v>297</v>
      </c>
      <c r="F81" t="s">
        <v>357</v>
      </c>
      <c r="G81">
        <v>1</v>
      </c>
      <c r="H81">
        <v>0.5</v>
      </c>
      <c r="I81">
        <f t="shared" si="4"/>
        <v>0.66666666666666663</v>
      </c>
      <c r="J81">
        <v>0.4</v>
      </c>
      <c r="K81">
        <v>1</v>
      </c>
      <c r="L81">
        <v>439</v>
      </c>
      <c r="M81">
        <f t="shared" si="5"/>
        <v>0.57099999999999995</v>
      </c>
    </row>
    <row r="82" spans="1:13">
      <c r="A82" t="s">
        <v>298</v>
      </c>
      <c r="B82" s="1" t="s">
        <v>299</v>
      </c>
      <c r="C82" t="s">
        <v>300</v>
      </c>
      <c r="D82" t="s">
        <v>450</v>
      </c>
      <c r="E82" t="s">
        <v>383</v>
      </c>
      <c r="F82" t="s">
        <v>354</v>
      </c>
      <c r="G82">
        <v>0</v>
      </c>
      <c r="H82">
        <v>0</v>
      </c>
      <c r="I82">
        <f t="shared" si="4"/>
        <v>0</v>
      </c>
      <c r="J82">
        <v>1</v>
      </c>
      <c r="K82">
        <v>0.75</v>
      </c>
      <c r="L82">
        <v>487</v>
      </c>
      <c r="M82">
        <f t="shared" si="5"/>
        <v>0.85699999999999998</v>
      </c>
    </row>
    <row r="83" spans="1:13">
      <c r="A83" t="s">
        <v>302</v>
      </c>
      <c r="B83" s="1" t="s">
        <v>303</v>
      </c>
      <c r="C83" t="s">
        <v>304</v>
      </c>
      <c r="D83" t="s">
        <v>305</v>
      </c>
      <c r="E83" t="s">
        <v>360</v>
      </c>
      <c r="F83" t="s">
        <v>23</v>
      </c>
      <c r="G83">
        <v>0.5</v>
      </c>
      <c r="H83">
        <v>0.33300000000000002</v>
      </c>
      <c r="I83">
        <f t="shared" si="4"/>
        <v>0.39975990396158467</v>
      </c>
      <c r="J83">
        <v>1</v>
      </c>
      <c r="K83">
        <v>0.66700000000000004</v>
      </c>
      <c r="L83">
        <v>519</v>
      </c>
      <c r="M83">
        <f t="shared" si="5"/>
        <v>0.8</v>
      </c>
    </row>
    <row r="84" spans="1:13">
      <c r="A84" t="s">
        <v>307</v>
      </c>
      <c r="B84" s="1" t="s">
        <v>183</v>
      </c>
      <c r="C84" t="s">
        <v>308</v>
      </c>
      <c r="D84" t="s">
        <v>459</v>
      </c>
      <c r="E84" t="s">
        <v>460</v>
      </c>
      <c r="F84" t="s">
        <v>23</v>
      </c>
      <c r="G84">
        <v>0</v>
      </c>
      <c r="H84">
        <v>0</v>
      </c>
      <c r="I84">
        <f t="shared" si="4"/>
        <v>0</v>
      </c>
      <c r="J84">
        <v>0</v>
      </c>
      <c r="K84">
        <v>0</v>
      </c>
      <c r="L84">
        <v>510</v>
      </c>
      <c r="M84">
        <f t="shared" si="5"/>
        <v>0</v>
      </c>
    </row>
    <row r="85" spans="1:13">
      <c r="A85" t="s">
        <v>310</v>
      </c>
      <c r="B85" s="1" t="s">
        <v>19</v>
      </c>
      <c r="C85" t="s">
        <v>311</v>
      </c>
      <c r="D85" t="s">
        <v>1</v>
      </c>
      <c r="E85" t="s">
        <v>311</v>
      </c>
      <c r="F85" t="s">
        <v>23</v>
      </c>
      <c r="G85">
        <v>0.5</v>
      </c>
      <c r="H85">
        <v>0.5</v>
      </c>
      <c r="I85">
        <f t="shared" si="4"/>
        <v>0.5</v>
      </c>
      <c r="J85">
        <v>1</v>
      </c>
      <c r="K85">
        <v>1</v>
      </c>
      <c r="L85">
        <v>499</v>
      </c>
      <c r="M85">
        <f t="shared" si="5"/>
        <v>1</v>
      </c>
    </row>
    <row r="86" spans="1:13">
      <c r="A86" t="s">
        <v>313</v>
      </c>
      <c r="B86" s="1" t="s">
        <v>46</v>
      </c>
      <c r="C86" t="s">
        <v>314</v>
      </c>
      <c r="D86" t="s">
        <v>48</v>
      </c>
      <c r="E86" t="s">
        <v>461</v>
      </c>
      <c r="F86" t="s">
        <v>341</v>
      </c>
      <c r="G86">
        <v>0.5</v>
      </c>
      <c r="H86">
        <v>0.5</v>
      </c>
      <c r="I86">
        <f t="shared" si="4"/>
        <v>0.5</v>
      </c>
      <c r="J86">
        <v>0.75</v>
      </c>
      <c r="K86">
        <v>0.6</v>
      </c>
      <c r="L86">
        <v>542</v>
      </c>
      <c r="M86">
        <f t="shared" si="5"/>
        <v>0.66700000000000004</v>
      </c>
    </row>
    <row r="87" spans="1:13">
      <c r="A87" t="s">
        <v>316</v>
      </c>
      <c r="B87" s="1" t="s">
        <v>19</v>
      </c>
      <c r="C87" t="s">
        <v>317</v>
      </c>
      <c r="D87" t="s">
        <v>61</v>
      </c>
      <c r="E87" t="s">
        <v>462</v>
      </c>
      <c r="F87" t="s">
        <v>341</v>
      </c>
      <c r="G87">
        <v>1</v>
      </c>
      <c r="H87">
        <v>0.5</v>
      </c>
      <c r="I87">
        <f t="shared" si="4"/>
        <v>0.66666666666666663</v>
      </c>
      <c r="J87">
        <v>0.33300000000000002</v>
      </c>
      <c r="K87">
        <v>0.25</v>
      </c>
      <c r="L87">
        <v>486</v>
      </c>
      <c r="M87">
        <f t="shared" si="5"/>
        <v>0.28599999999999998</v>
      </c>
    </row>
    <row r="88" spans="1:13">
      <c r="A88" t="s">
        <v>319</v>
      </c>
      <c r="B88" s="1" t="s">
        <v>320</v>
      </c>
      <c r="C88" t="s">
        <v>321</v>
      </c>
      <c r="D88" t="s">
        <v>429</v>
      </c>
      <c r="E88" t="s">
        <v>172</v>
      </c>
      <c r="F88" t="s">
        <v>463</v>
      </c>
      <c r="G88">
        <v>0</v>
      </c>
      <c r="H88">
        <v>0</v>
      </c>
      <c r="I88">
        <f t="shared" si="4"/>
        <v>0</v>
      </c>
      <c r="J88">
        <v>0.5</v>
      </c>
      <c r="K88">
        <v>0.33300000000000002</v>
      </c>
      <c r="L88">
        <v>457</v>
      </c>
      <c r="M88">
        <f t="shared" si="5"/>
        <v>0.4</v>
      </c>
    </row>
    <row r="89" spans="1:13">
      <c r="A89" t="s">
        <v>323</v>
      </c>
      <c r="B89" s="1" t="s">
        <v>37</v>
      </c>
      <c r="C89" t="s">
        <v>324</v>
      </c>
      <c r="D89" t="s">
        <v>37</v>
      </c>
      <c r="E89" t="s">
        <v>391</v>
      </c>
      <c r="F89" t="s">
        <v>344</v>
      </c>
      <c r="G89">
        <v>1</v>
      </c>
      <c r="H89">
        <v>1</v>
      </c>
      <c r="I89">
        <f t="shared" si="4"/>
        <v>1</v>
      </c>
      <c r="J89">
        <v>0.5</v>
      </c>
      <c r="K89">
        <v>1</v>
      </c>
      <c r="L89">
        <v>411</v>
      </c>
      <c r="M89">
        <f t="shared" si="5"/>
        <v>0.66700000000000004</v>
      </c>
    </row>
    <row r="90" spans="1:13">
      <c r="A90" t="s">
        <v>267</v>
      </c>
      <c r="B90" s="1" t="s">
        <v>19</v>
      </c>
      <c r="C90" t="s">
        <v>268</v>
      </c>
      <c r="D90" t="s">
        <v>464</v>
      </c>
      <c r="E90" t="s">
        <v>465</v>
      </c>
      <c r="F90" t="s">
        <v>401</v>
      </c>
      <c r="G90">
        <v>0.33300000000000002</v>
      </c>
      <c r="H90">
        <v>0.5</v>
      </c>
      <c r="I90">
        <f t="shared" si="4"/>
        <v>0.39975990396158467</v>
      </c>
      <c r="J90">
        <v>0.16700000000000001</v>
      </c>
      <c r="K90">
        <v>0.33300000000000002</v>
      </c>
      <c r="L90">
        <v>566</v>
      </c>
      <c r="M90">
        <f t="shared" si="5"/>
        <v>0.222</v>
      </c>
    </row>
    <row r="91" spans="1:13">
      <c r="A91" t="s">
        <v>326</v>
      </c>
      <c r="B91" s="1" t="s">
        <v>183</v>
      </c>
      <c r="C91" t="s">
        <v>327</v>
      </c>
      <c r="D91" t="s">
        <v>466</v>
      </c>
      <c r="E91" t="s">
        <v>118</v>
      </c>
      <c r="F91" t="s">
        <v>341</v>
      </c>
      <c r="G91">
        <v>0.5</v>
      </c>
      <c r="H91">
        <v>0.5</v>
      </c>
      <c r="I91">
        <f t="shared" si="4"/>
        <v>0.5</v>
      </c>
      <c r="J91">
        <v>0</v>
      </c>
      <c r="K91">
        <v>0</v>
      </c>
      <c r="L91">
        <v>423</v>
      </c>
      <c r="M91">
        <f t="shared" si="5"/>
        <v>0</v>
      </c>
    </row>
    <row r="92" spans="1:13">
      <c r="A92" t="s">
        <v>329</v>
      </c>
      <c r="B92" s="1" t="s">
        <v>13</v>
      </c>
      <c r="C92" t="s">
        <v>330</v>
      </c>
      <c r="D92" t="s">
        <v>13</v>
      </c>
      <c r="E92" t="s">
        <v>331</v>
      </c>
      <c r="F92" t="s">
        <v>351</v>
      </c>
      <c r="G92">
        <v>1</v>
      </c>
      <c r="H92">
        <v>1</v>
      </c>
      <c r="I92">
        <f t="shared" si="4"/>
        <v>1</v>
      </c>
      <c r="J92">
        <v>1</v>
      </c>
      <c r="K92">
        <v>0.66700000000000004</v>
      </c>
      <c r="L92">
        <v>413</v>
      </c>
      <c r="M92">
        <f t="shared" si="5"/>
        <v>0.8</v>
      </c>
    </row>
    <row r="93" spans="1:13">
      <c r="A93" t="s">
        <v>332</v>
      </c>
      <c r="B93" s="1" t="s">
        <v>37</v>
      </c>
      <c r="C93" t="s">
        <v>324</v>
      </c>
      <c r="D93" t="s">
        <v>37</v>
      </c>
      <c r="E93" t="s">
        <v>391</v>
      </c>
      <c r="F93" t="s">
        <v>344</v>
      </c>
      <c r="G93">
        <v>1</v>
      </c>
      <c r="H93">
        <v>1</v>
      </c>
      <c r="I93">
        <f t="shared" si="4"/>
        <v>1</v>
      </c>
      <c r="J93">
        <v>0.5</v>
      </c>
      <c r="K93">
        <v>1</v>
      </c>
      <c r="L93">
        <v>413</v>
      </c>
      <c r="M93">
        <f t="shared" si="5"/>
        <v>0.66700000000000004</v>
      </c>
    </row>
    <row r="94" spans="1:13">
      <c r="A94" t="s">
        <v>334</v>
      </c>
      <c r="B94" s="1" t="s">
        <v>61</v>
      </c>
      <c r="C94" t="s">
        <v>221</v>
      </c>
      <c r="D94" t="s">
        <v>13</v>
      </c>
      <c r="E94" t="s">
        <v>221</v>
      </c>
      <c r="F94" t="s">
        <v>222</v>
      </c>
      <c r="G94">
        <v>0</v>
      </c>
      <c r="H94">
        <v>0</v>
      </c>
      <c r="I94">
        <f t="shared" si="4"/>
        <v>0</v>
      </c>
      <c r="J94">
        <v>1</v>
      </c>
      <c r="K94">
        <v>1</v>
      </c>
      <c r="L94">
        <v>414</v>
      </c>
      <c r="M94">
        <f t="shared" si="5"/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4"/>
  <sheetViews>
    <sheetView zoomScale="70" zoomScaleNormal="70" workbookViewId="0">
      <selection activeCell="O8" sqref="O8"/>
    </sheetView>
  </sheetViews>
  <sheetFormatPr defaultRowHeight="18"/>
  <cols>
    <col min="1" max="1" width="86.08203125" customWidth="1"/>
    <col min="2" max="2" width="12.6640625" customWidth="1"/>
    <col min="3" max="3" width="11.4140625" customWidth="1"/>
    <col min="4" max="4" width="13.5" customWidth="1"/>
    <col min="5" max="5" width="38.1640625" customWidth="1"/>
    <col min="7" max="7" width="11.08203125" customWidth="1"/>
    <col min="8" max="8" width="10.9140625" customWidth="1"/>
    <col min="12" max="12" width="9.25" bestFit="1" customWidth="1"/>
    <col min="13" max="13" width="9.58203125" bestFit="1" customWidth="1"/>
    <col min="14" max="14" width="19.1640625" customWidth="1"/>
    <col min="15" max="15" width="17.4140625" customWidth="1"/>
    <col min="16" max="16" width="13.1640625" bestFit="1" customWidth="1"/>
  </cols>
  <sheetData>
    <row r="1" spans="1:16" s="5" customFormat="1">
      <c r="A1" s="5" t="s">
        <v>634</v>
      </c>
      <c r="B1" s="5" t="s">
        <v>647</v>
      </c>
      <c r="C1" s="5" t="s">
        <v>635</v>
      </c>
      <c r="D1" s="5" t="s">
        <v>648</v>
      </c>
      <c r="E1" s="5" t="s">
        <v>636</v>
      </c>
      <c r="F1" s="5" t="s">
        <v>637</v>
      </c>
      <c r="G1" s="5" t="s">
        <v>649</v>
      </c>
      <c r="H1" s="5" t="s">
        <v>650</v>
      </c>
      <c r="I1" s="5" t="s">
        <v>651</v>
      </c>
      <c r="J1" s="5" t="s">
        <v>638</v>
      </c>
      <c r="K1" s="5" t="s">
        <v>639</v>
      </c>
      <c r="L1" s="5" t="s">
        <v>640</v>
      </c>
      <c r="M1" s="5" t="s">
        <v>641</v>
      </c>
      <c r="N1" s="5" t="s">
        <v>642</v>
      </c>
      <c r="O1" s="5" t="s">
        <v>643</v>
      </c>
      <c r="P1" s="6" t="s">
        <v>644</v>
      </c>
    </row>
    <row r="2" spans="1:16">
      <c r="A2" t="s">
        <v>0</v>
      </c>
      <c r="B2" s="1" t="s">
        <v>1</v>
      </c>
      <c r="C2" t="s">
        <v>2</v>
      </c>
      <c r="D2" t="s">
        <v>3</v>
      </c>
      <c r="E2" t="s">
        <v>393</v>
      </c>
      <c r="F2" t="s">
        <v>222</v>
      </c>
      <c r="G2">
        <v>1</v>
      </c>
      <c r="H2">
        <v>0.5</v>
      </c>
      <c r="I2">
        <f t="shared" ref="I2:I33" si="0">IF(G2+H2=0,0,2*G2*H2/(G2+H2))</f>
        <v>0.66666666666666663</v>
      </c>
      <c r="J2">
        <v>1</v>
      </c>
      <c r="K2">
        <v>0.33300000000000002</v>
      </c>
      <c r="L2">
        <v>681</v>
      </c>
      <c r="M2">
        <f t="shared" ref="M2:M33" si="1">IF(J2+K2=0,0,ROUND(2*J2*K2/(J2+K2),3))</f>
        <v>0.5</v>
      </c>
      <c r="N2" s="2">
        <f>ROUND(AVERAGE(J2:J94),3)</f>
        <v>0.58599999999999997</v>
      </c>
      <c r="O2" s="2">
        <f>ROUND(AVERAGE(K2:K94),3)</f>
        <v>0.56000000000000005</v>
      </c>
      <c r="P2" s="2">
        <f>SUM(M2:M94)/93</f>
        <v>0.53341935483870984</v>
      </c>
    </row>
    <row r="3" spans="1:16">
      <c r="A3" t="s">
        <v>6</v>
      </c>
      <c r="B3" s="1" t="s">
        <v>7</v>
      </c>
      <c r="C3" t="s">
        <v>8</v>
      </c>
      <c r="D3" t="s">
        <v>9</v>
      </c>
      <c r="E3" t="s">
        <v>10</v>
      </c>
      <c r="F3" t="s">
        <v>374</v>
      </c>
      <c r="G3">
        <v>1</v>
      </c>
      <c r="H3">
        <v>0.5</v>
      </c>
      <c r="I3">
        <f t="shared" si="0"/>
        <v>0.66666666666666663</v>
      </c>
      <c r="J3">
        <v>0.66700000000000004</v>
      </c>
      <c r="K3">
        <v>0.4</v>
      </c>
      <c r="L3">
        <v>703</v>
      </c>
      <c r="M3">
        <f t="shared" si="1"/>
        <v>0.5</v>
      </c>
      <c r="P3" s="2"/>
    </row>
    <row r="4" spans="1:16">
      <c r="A4" t="s">
        <v>12</v>
      </c>
      <c r="B4" s="1" t="s">
        <v>13</v>
      </c>
      <c r="C4" t="s">
        <v>14</v>
      </c>
      <c r="D4" t="s">
        <v>3</v>
      </c>
      <c r="E4" t="s">
        <v>97</v>
      </c>
      <c r="F4" t="s">
        <v>35</v>
      </c>
      <c r="G4">
        <v>0</v>
      </c>
      <c r="H4">
        <v>0</v>
      </c>
      <c r="I4">
        <f t="shared" si="0"/>
        <v>0</v>
      </c>
      <c r="J4">
        <v>1</v>
      </c>
      <c r="K4">
        <v>0.33300000000000002</v>
      </c>
      <c r="L4">
        <v>667</v>
      </c>
      <c r="M4">
        <f t="shared" si="1"/>
        <v>0.5</v>
      </c>
      <c r="N4" t="s">
        <v>652</v>
      </c>
      <c r="O4" t="s">
        <v>653</v>
      </c>
      <c r="P4" s="2" t="s">
        <v>654</v>
      </c>
    </row>
    <row r="5" spans="1:16">
      <c r="A5" t="s">
        <v>18</v>
      </c>
      <c r="B5" s="1" t="s">
        <v>19</v>
      </c>
      <c r="C5" t="s">
        <v>20</v>
      </c>
      <c r="D5" t="s">
        <v>263</v>
      </c>
      <c r="E5" t="s">
        <v>22</v>
      </c>
      <c r="F5" t="s">
        <v>23</v>
      </c>
      <c r="G5">
        <v>1</v>
      </c>
      <c r="H5">
        <v>0.5</v>
      </c>
      <c r="I5">
        <f t="shared" si="0"/>
        <v>0.66666666666666663</v>
      </c>
      <c r="J5">
        <v>1</v>
      </c>
      <c r="K5">
        <v>0.5</v>
      </c>
      <c r="L5">
        <v>756</v>
      </c>
      <c r="M5">
        <f t="shared" si="1"/>
        <v>0.66700000000000004</v>
      </c>
      <c r="N5" s="2">
        <f>ROUND(AVERAGE(G2:G94),3)</f>
        <v>0.747</v>
      </c>
      <c r="O5" s="2">
        <f>ROUND(AVERAGE(H2:H94),3)</f>
        <v>0.57899999999999996</v>
      </c>
      <c r="P5" s="2">
        <f>ROUND(AVERAGE(I2:I94),3)</f>
        <v>0.61399999999999999</v>
      </c>
    </row>
    <row r="6" spans="1:16">
      <c r="A6" t="s">
        <v>24</v>
      </c>
      <c r="B6" s="1" t="s">
        <v>25</v>
      </c>
      <c r="C6" t="s">
        <v>26</v>
      </c>
      <c r="D6" t="s">
        <v>25</v>
      </c>
      <c r="E6" t="s">
        <v>340</v>
      </c>
      <c r="F6" t="s">
        <v>341</v>
      </c>
      <c r="G6">
        <v>1</v>
      </c>
      <c r="H6">
        <v>1</v>
      </c>
      <c r="I6">
        <f t="shared" si="0"/>
        <v>1</v>
      </c>
      <c r="J6">
        <v>0.8</v>
      </c>
      <c r="K6">
        <v>1</v>
      </c>
      <c r="L6">
        <v>700</v>
      </c>
      <c r="M6">
        <f t="shared" si="1"/>
        <v>0.88900000000000001</v>
      </c>
      <c r="O6" t="s">
        <v>645</v>
      </c>
    </row>
    <row r="7" spans="1:16">
      <c r="A7" t="s">
        <v>30</v>
      </c>
      <c r="B7" s="1" t="s">
        <v>31</v>
      </c>
      <c r="C7" t="s">
        <v>32</v>
      </c>
      <c r="D7" t="s">
        <v>398</v>
      </c>
      <c r="E7" t="s">
        <v>467</v>
      </c>
      <c r="F7" t="s">
        <v>17</v>
      </c>
      <c r="G7">
        <v>0</v>
      </c>
      <c r="H7">
        <v>0</v>
      </c>
      <c r="I7">
        <f t="shared" si="0"/>
        <v>0</v>
      </c>
      <c r="J7">
        <v>0.66700000000000004</v>
      </c>
      <c r="K7">
        <v>0.4</v>
      </c>
      <c r="L7">
        <v>658</v>
      </c>
      <c r="M7">
        <f t="shared" si="1"/>
        <v>0.5</v>
      </c>
      <c r="O7" s="4">
        <f>AVERAGE(L2:L94)</f>
        <v>738.20430107526886</v>
      </c>
    </row>
    <row r="8" spans="1:16">
      <c r="A8" t="s">
        <v>36</v>
      </c>
      <c r="B8" s="1" t="s">
        <v>37</v>
      </c>
      <c r="C8" t="s">
        <v>38</v>
      </c>
      <c r="D8" t="s">
        <v>37</v>
      </c>
      <c r="E8" t="s">
        <v>468</v>
      </c>
      <c r="F8" t="s">
        <v>23</v>
      </c>
      <c r="G8">
        <v>1</v>
      </c>
      <c r="H8">
        <v>1</v>
      </c>
      <c r="I8">
        <f t="shared" si="0"/>
        <v>1</v>
      </c>
      <c r="J8">
        <v>0.5</v>
      </c>
      <c r="K8">
        <v>0.5</v>
      </c>
      <c r="L8">
        <v>698</v>
      </c>
      <c r="M8">
        <f t="shared" si="1"/>
        <v>0.5</v>
      </c>
      <c r="O8" t="s">
        <v>646</v>
      </c>
    </row>
    <row r="9" spans="1:16">
      <c r="A9" t="s">
        <v>40</v>
      </c>
      <c r="B9" s="1" t="s">
        <v>41</v>
      </c>
      <c r="C9" t="s">
        <v>34</v>
      </c>
      <c r="D9" t="s">
        <v>343</v>
      </c>
      <c r="E9" t="s">
        <v>43</v>
      </c>
      <c r="F9" t="s">
        <v>44</v>
      </c>
      <c r="G9">
        <v>1</v>
      </c>
      <c r="H9">
        <v>0.33300000000000002</v>
      </c>
      <c r="I9">
        <f t="shared" si="0"/>
        <v>0.4996249062265567</v>
      </c>
      <c r="J9">
        <v>0.5</v>
      </c>
      <c r="K9">
        <v>1</v>
      </c>
      <c r="L9">
        <v>704</v>
      </c>
      <c r="M9">
        <f t="shared" si="1"/>
        <v>0.66700000000000004</v>
      </c>
      <c r="O9" s="2">
        <f>_xlfn.STDEV.P(L2:L94)</f>
        <v>62.980208384598235</v>
      </c>
    </row>
    <row r="10" spans="1:16">
      <c r="A10" t="s">
        <v>45</v>
      </c>
      <c r="B10" s="1" t="s">
        <v>46</v>
      </c>
      <c r="C10" t="s">
        <v>47</v>
      </c>
      <c r="D10" t="s">
        <v>48</v>
      </c>
      <c r="E10" t="s">
        <v>47</v>
      </c>
      <c r="F10" t="s">
        <v>469</v>
      </c>
      <c r="G10">
        <v>0.5</v>
      </c>
      <c r="H10">
        <v>0.5</v>
      </c>
      <c r="I10">
        <f t="shared" si="0"/>
        <v>0.5</v>
      </c>
      <c r="J10">
        <v>1</v>
      </c>
      <c r="K10">
        <v>1</v>
      </c>
      <c r="L10">
        <v>797</v>
      </c>
      <c r="M10">
        <f t="shared" si="1"/>
        <v>1</v>
      </c>
    </row>
    <row r="11" spans="1:16">
      <c r="A11" t="s">
        <v>51</v>
      </c>
      <c r="B11" s="1" t="s">
        <v>52</v>
      </c>
      <c r="C11" t="s">
        <v>53</v>
      </c>
      <c r="D11" t="s">
        <v>54</v>
      </c>
      <c r="E11" t="s">
        <v>470</v>
      </c>
      <c r="F11" t="s">
        <v>222</v>
      </c>
      <c r="G11">
        <v>1</v>
      </c>
      <c r="H11">
        <v>0.5</v>
      </c>
      <c r="I11">
        <f t="shared" si="0"/>
        <v>0.66666666666666663</v>
      </c>
      <c r="J11">
        <v>1</v>
      </c>
      <c r="K11">
        <v>0.33300000000000002</v>
      </c>
      <c r="L11">
        <v>682</v>
      </c>
      <c r="M11">
        <f t="shared" si="1"/>
        <v>0.5</v>
      </c>
    </row>
    <row r="12" spans="1:16">
      <c r="A12" t="s">
        <v>56</v>
      </c>
      <c r="B12" s="1" t="s">
        <v>46</v>
      </c>
      <c r="C12" t="s">
        <v>47</v>
      </c>
      <c r="D12" t="s">
        <v>81</v>
      </c>
      <c r="E12" t="s">
        <v>471</v>
      </c>
      <c r="F12" t="s">
        <v>472</v>
      </c>
      <c r="G12">
        <v>0.5</v>
      </c>
      <c r="H12">
        <v>0.5</v>
      </c>
      <c r="I12">
        <f t="shared" si="0"/>
        <v>0.5</v>
      </c>
      <c r="J12">
        <v>0.5</v>
      </c>
      <c r="K12">
        <v>1</v>
      </c>
      <c r="L12">
        <v>784</v>
      </c>
      <c r="M12">
        <f t="shared" si="1"/>
        <v>0.66700000000000004</v>
      </c>
    </row>
    <row r="13" spans="1:16">
      <c r="A13" t="s">
        <v>59</v>
      </c>
      <c r="B13" s="1" t="s">
        <v>19</v>
      </c>
      <c r="C13" t="s">
        <v>60</v>
      </c>
      <c r="D13" t="s">
        <v>61</v>
      </c>
      <c r="E13" t="s">
        <v>473</v>
      </c>
      <c r="F13" t="s">
        <v>472</v>
      </c>
      <c r="G13">
        <v>1</v>
      </c>
      <c r="H13">
        <v>0.5</v>
      </c>
      <c r="I13">
        <f t="shared" si="0"/>
        <v>0.66666666666666663</v>
      </c>
      <c r="J13">
        <v>0.25</v>
      </c>
      <c r="K13">
        <v>0.5</v>
      </c>
      <c r="L13">
        <v>745</v>
      </c>
      <c r="M13">
        <f t="shared" si="1"/>
        <v>0.33300000000000002</v>
      </c>
    </row>
    <row r="14" spans="1:16">
      <c r="A14" t="s">
        <v>63</v>
      </c>
      <c r="B14" s="1" t="s">
        <v>61</v>
      </c>
      <c r="C14" t="s">
        <v>64</v>
      </c>
      <c r="D14" t="s">
        <v>453</v>
      </c>
      <c r="E14" t="s">
        <v>474</v>
      </c>
      <c r="F14" t="s">
        <v>472</v>
      </c>
      <c r="G14">
        <v>0.5</v>
      </c>
      <c r="H14">
        <v>1</v>
      </c>
      <c r="I14">
        <f t="shared" si="0"/>
        <v>0.66666666666666663</v>
      </c>
      <c r="J14">
        <v>0.36399999999999999</v>
      </c>
      <c r="K14">
        <v>0.8</v>
      </c>
      <c r="L14">
        <v>789</v>
      </c>
      <c r="M14">
        <f t="shared" si="1"/>
        <v>0.5</v>
      </c>
    </row>
    <row r="15" spans="1:16">
      <c r="A15" t="s">
        <v>66</v>
      </c>
      <c r="B15" s="1" t="s">
        <v>67</v>
      </c>
      <c r="C15" t="s">
        <v>8</v>
      </c>
      <c r="D15" t="s">
        <v>9</v>
      </c>
      <c r="E15" t="s">
        <v>163</v>
      </c>
      <c r="F15" t="s">
        <v>374</v>
      </c>
      <c r="G15">
        <v>1</v>
      </c>
      <c r="H15">
        <v>0.5</v>
      </c>
      <c r="I15">
        <f t="shared" si="0"/>
        <v>0.66666666666666663</v>
      </c>
      <c r="J15">
        <v>0.66700000000000004</v>
      </c>
      <c r="K15">
        <v>0.4</v>
      </c>
      <c r="L15">
        <v>703</v>
      </c>
      <c r="M15">
        <f t="shared" si="1"/>
        <v>0.5</v>
      </c>
    </row>
    <row r="16" spans="1:16">
      <c r="A16" t="s">
        <v>70</v>
      </c>
      <c r="B16" s="1" t="s">
        <v>71</v>
      </c>
      <c r="C16" t="s">
        <v>72</v>
      </c>
      <c r="D16" t="s">
        <v>475</v>
      </c>
      <c r="E16" t="s">
        <v>476</v>
      </c>
      <c r="F16" t="s">
        <v>374</v>
      </c>
      <c r="G16">
        <v>0.5</v>
      </c>
      <c r="H16">
        <v>1</v>
      </c>
      <c r="I16">
        <f t="shared" si="0"/>
        <v>0.66666666666666663</v>
      </c>
      <c r="J16">
        <v>1</v>
      </c>
      <c r="K16">
        <v>0.16700000000000001</v>
      </c>
      <c r="L16">
        <v>774</v>
      </c>
      <c r="M16">
        <f t="shared" si="1"/>
        <v>0.28599999999999998</v>
      </c>
    </row>
    <row r="17" spans="1:13">
      <c r="A17" t="s">
        <v>75</v>
      </c>
      <c r="B17" s="1" t="s">
        <v>19</v>
      </c>
      <c r="C17" t="s">
        <v>76</v>
      </c>
      <c r="D17" t="s">
        <v>19</v>
      </c>
      <c r="E17" t="s">
        <v>477</v>
      </c>
      <c r="F17" t="s">
        <v>23</v>
      </c>
      <c r="G17">
        <v>1</v>
      </c>
      <c r="H17">
        <v>1</v>
      </c>
      <c r="I17">
        <f t="shared" si="0"/>
        <v>1</v>
      </c>
      <c r="J17">
        <v>0.6</v>
      </c>
      <c r="K17">
        <v>0.42899999999999999</v>
      </c>
      <c r="L17">
        <v>846</v>
      </c>
      <c r="M17">
        <f t="shared" si="1"/>
        <v>0.5</v>
      </c>
    </row>
    <row r="18" spans="1:13">
      <c r="A18" t="s">
        <v>79</v>
      </c>
      <c r="B18" s="1" t="s">
        <v>19</v>
      </c>
      <c r="C18" t="s">
        <v>80</v>
      </c>
      <c r="D18" t="s">
        <v>37</v>
      </c>
      <c r="E18" t="s">
        <v>478</v>
      </c>
      <c r="F18" t="s">
        <v>23</v>
      </c>
      <c r="G18">
        <v>0</v>
      </c>
      <c r="H18">
        <v>0</v>
      </c>
      <c r="I18">
        <f t="shared" si="0"/>
        <v>0</v>
      </c>
      <c r="J18">
        <v>0</v>
      </c>
      <c r="K18">
        <v>0</v>
      </c>
      <c r="L18">
        <v>700</v>
      </c>
      <c r="M18">
        <f t="shared" si="1"/>
        <v>0</v>
      </c>
    </row>
    <row r="19" spans="1:13">
      <c r="A19" t="s">
        <v>84</v>
      </c>
      <c r="B19" s="1" t="s">
        <v>85</v>
      </c>
      <c r="C19" t="s">
        <v>86</v>
      </c>
      <c r="D19" t="s">
        <v>479</v>
      </c>
      <c r="E19" t="s">
        <v>480</v>
      </c>
      <c r="F19" t="s">
        <v>472</v>
      </c>
      <c r="G19">
        <v>0.66700000000000004</v>
      </c>
      <c r="H19">
        <v>0.66700000000000004</v>
      </c>
      <c r="I19">
        <f t="shared" si="0"/>
        <v>0.66700000000000004</v>
      </c>
      <c r="J19">
        <v>0.66700000000000004</v>
      </c>
      <c r="K19">
        <v>1</v>
      </c>
      <c r="L19">
        <v>811</v>
      </c>
      <c r="M19">
        <f t="shared" si="1"/>
        <v>0.8</v>
      </c>
    </row>
    <row r="20" spans="1:13">
      <c r="A20" t="s">
        <v>88</v>
      </c>
      <c r="B20" s="1" t="s">
        <v>655</v>
      </c>
      <c r="C20" t="s">
        <v>38</v>
      </c>
      <c r="D20" t="s">
        <v>37</v>
      </c>
      <c r="E20" t="s">
        <v>481</v>
      </c>
      <c r="F20" t="s">
        <v>17</v>
      </c>
      <c r="G20">
        <v>1</v>
      </c>
      <c r="H20">
        <v>0.5</v>
      </c>
      <c r="I20">
        <f t="shared" si="0"/>
        <v>0.66666666666666663</v>
      </c>
      <c r="J20">
        <v>0.33300000000000002</v>
      </c>
      <c r="K20">
        <v>0.5</v>
      </c>
      <c r="L20">
        <v>691</v>
      </c>
      <c r="M20">
        <f t="shared" si="1"/>
        <v>0.4</v>
      </c>
    </row>
    <row r="21" spans="1:13">
      <c r="A21" t="s">
        <v>90</v>
      </c>
      <c r="B21" s="1" t="s">
        <v>91</v>
      </c>
      <c r="C21" t="s">
        <v>92</v>
      </c>
      <c r="D21" t="s">
        <v>91</v>
      </c>
      <c r="E21" t="s">
        <v>482</v>
      </c>
      <c r="F21" t="s">
        <v>44</v>
      </c>
      <c r="G21">
        <v>1</v>
      </c>
      <c r="H21">
        <v>1</v>
      </c>
      <c r="I21">
        <f t="shared" si="0"/>
        <v>1</v>
      </c>
      <c r="J21">
        <v>1</v>
      </c>
      <c r="K21">
        <v>1</v>
      </c>
      <c r="L21">
        <v>695</v>
      </c>
      <c r="M21">
        <f t="shared" si="1"/>
        <v>1</v>
      </c>
    </row>
    <row r="22" spans="1:13">
      <c r="A22" t="s">
        <v>94</v>
      </c>
      <c r="B22" s="1" t="s">
        <v>95</v>
      </c>
      <c r="C22" t="s">
        <v>96</v>
      </c>
      <c r="D22" t="s">
        <v>3</v>
      </c>
      <c r="E22" t="s">
        <v>97</v>
      </c>
      <c r="F22" t="s">
        <v>35</v>
      </c>
      <c r="G22">
        <v>1</v>
      </c>
      <c r="H22">
        <v>0.33300000000000002</v>
      </c>
      <c r="I22">
        <f t="shared" si="0"/>
        <v>0.4996249062265567</v>
      </c>
      <c r="J22">
        <v>1</v>
      </c>
      <c r="K22">
        <v>0.25</v>
      </c>
      <c r="L22">
        <v>681</v>
      </c>
      <c r="M22">
        <f t="shared" si="1"/>
        <v>0.4</v>
      </c>
    </row>
    <row r="23" spans="1:13">
      <c r="A23" t="s">
        <v>98</v>
      </c>
      <c r="B23" s="1" t="s">
        <v>61</v>
      </c>
      <c r="C23" t="s">
        <v>99</v>
      </c>
      <c r="D23" t="s">
        <v>113</v>
      </c>
      <c r="E23" t="s">
        <v>483</v>
      </c>
      <c r="F23" t="s">
        <v>472</v>
      </c>
      <c r="G23">
        <v>0</v>
      </c>
      <c r="H23">
        <v>0</v>
      </c>
      <c r="I23">
        <f t="shared" si="0"/>
        <v>0</v>
      </c>
      <c r="J23">
        <v>0</v>
      </c>
      <c r="K23">
        <v>0</v>
      </c>
      <c r="L23">
        <v>731</v>
      </c>
      <c r="M23">
        <f t="shared" si="1"/>
        <v>0</v>
      </c>
    </row>
    <row r="24" spans="1:13">
      <c r="A24" t="s">
        <v>102</v>
      </c>
      <c r="B24" s="1" t="s">
        <v>19</v>
      </c>
      <c r="C24" t="s">
        <v>103</v>
      </c>
      <c r="D24" t="s">
        <v>77</v>
      </c>
      <c r="E24" t="s">
        <v>484</v>
      </c>
      <c r="F24" t="s">
        <v>472</v>
      </c>
      <c r="G24">
        <v>0.33300000000000002</v>
      </c>
      <c r="H24">
        <v>0.5</v>
      </c>
      <c r="I24">
        <f t="shared" si="0"/>
        <v>0.39975990396158467</v>
      </c>
      <c r="J24">
        <v>0.28599999999999998</v>
      </c>
      <c r="K24">
        <v>0.5</v>
      </c>
      <c r="L24">
        <v>840</v>
      </c>
      <c r="M24">
        <f t="shared" si="1"/>
        <v>0.36399999999999999</v>
      </c>
    </row>
    <row r="25" spans="1:13">
      <c r="A25" t="s">
        <v>105</v>
      </c>
      <c r="B25" s="1" t="s">
        <v>106</v>
      </c>
      <c r="C25" t="s">
        <v>107</v>
      </c>
      <c r="D25" t="s">
        <v>171</v>
      </c>
      <c r="E25" t="s">
        <v>338</v>
      </c>
      <c r="F25" t="s">
        <v>472</v>
      </c>
      <c r="G25">
        <v>1</v>
      </c>
      <c r="H25">
        <v>0.66700000000000004</v>
      </c>
      <c r="I25">
        <f t="shared" si="0"/>
        <v>0.80023995200959808</v>
      </c>
      <c r="J25">
        <v>0.33300000000000002</v>
      </c>
      <c r="K25">
        <v>0.16700000000000001</v>
      </c>
      <c r="L25">
        <v>815</v>
      </c>
      <c r="M25">
        <f t="shared" si="1"/>
        <v>0.222</v>
      </c>
    </row>
    <row r="26" spans="1:13">
      <c r="A26" t="s">
        <v>110</v>
      </c>
      <c r="B26" s="1" t="s">
        <v>19</v>
      </c>
      <c r="C26" t="s">
        <v>47</v>
      </c>
      <c r="D26" t="s">
        <v>48</v>
      </c>
      <c r="E26" t="s">
        <v>485</v>
      </c>
      <c r="F26" t="s">
        <v>472</v>
      </c>
      <c r="G26">
        <v>0.5</v>
      </c>
      <c r="H26">
        <v>0.5</v>
      </c>
      <c r="I26">
        <f t="shared" si="0"/>
        <v>0.5</v>
      </c>
      <c r="J26">
        <v>0.5</v>
      </c>
      <c r="K26">
        <v>1</v>
      </c>
      <c r="L26">
        <v>809</v>
      </c>
      <c r="M26">
        <f t="shared" si="1"/>
        <v>0.66700000000000004</v>
      </c>
    </row>
    <row r="27" spans="1:13">
      <c r="A27" t="s">
        <v>112</v>
      </c>
      <c r="B27" s="1" t="s">
        <v>113</v>
      </c>
      <c r="C27" t="s">
        <v>114</v>
      </c>
      <c r="D27" t="s">
        <v>113</v>
      </c>
      <c r="E27" t="s">
        <v>486</v>
      </c>
      <c r="F27" t="s">
        <v>472</v>
      </c>
      <c r="G27">
        <v>1</v>
      </c>
      <c r="H27">
        <v>1</v>
      </c>
      <c r="I27">
        <f t="shared" si="0"/>
        <v>1</v>
      </c>
      <c r="J27">
        <v>0.66700000000000004</v>
      </c>
      <c r="K27">
        <v>1</v>
      </c>
      <c r="L27">
        <v>713</v>
      </c>
      <c r="M27">
        <f t="shared" si="1"/>
        <v>0.8</v>
      </c>
    </row>
    <row r="28" spans="1:13">
      <c r="A28" t="s">
        <v>117</v>
      </c>
      <c r="B28" s="1" t="s">
        <v>61</v>
      </c>
      <c r="C28" t="s">
        <v>118</v>
      </c>
      <c r="D28" t="s">
        <v>487</v>
      </c>
      <c r="E28" t="s">
        <v>488</v>
      </c>
      <c r="F28" t="s">
        <v>472</v>
      </c>
      <c r="G28">
        <v>0.5</v>
      </c>
      <c r="H28">
        <v>1</v>
      </c>
      <c r="I28">
        <f t="shared" si="0"/>
        <v>0.66666666666666663</v>
      </c>
      <c r="J28">
        <v>0.14299999999999999</v>
      </c>
      <c r="K28">
        <v>0.5</v>
      </c>
      <c r="L28">
        <v>756</v>
      </c>
      <c r="M28">
        <f t="shared" si="1"/>
        <v>0.222</v>
      </c>
    </row>
    <row r="29" spans="1:13">
      <c r="A29" t="s">
        <v>120</v>
      </c>
      <c r="B29" s="1" t="s">
        <v>61</v>
      </c>
      <c r="C29" t="s">
        <v>121</v>
      </c>
      <c r="D29" t="s">
        <v>19</v>
      </c>
      <c r="E29" t="s">
        <v>489</v>
      </c>
      <c r="F29" t="s">
        <v>490</v>
      </c>
      <c r="G29">
        <v>0.5</v>
      </c>
      <c r="H29">
        <v>1</v>
      </c>
      <c r="I29">
        <f t="shared" si="0"/>
        <v>0.66666666666666663</v>
      </c>
      <c r="J29">
        <v>0.25</v>
      </c>
      <c r="K29">
        <v>0.33300000000000002</v>
      </c>
      <c r="L29">
        <v>849</v>
      </c>
      <c r="M29">
        <f t="shared" si="1"/>
        <v>0.28599999999999998</v>
      </c>
    </row>
    <row r="30" spans="1:13">
      <c r="A30" t="s">
        <v>123</v>
      </c>
      <c r="B30" s="1" t="s">
        <v>124</v>
      </c>
      <c r="C30" t="s">
        <v>49</v>
      </c>
      <c r="D30" t="s">
        <v>190</v>
      </c>
      <c r="E30" t="s">
        <v>491</v>
      </c>
      <c r="F30" t="s">
        <v>472</v>
      </c>
      <c r="G30">
        <v>1</v>
      </c>
      <c r="H30">
        <v>1</v>
      </c>
      <c r="I30">
        <f t="shared" si="0"/>
        <v>1</v>
      </c>
      <c r="J30">
        <v>0.6</v>
      </c>
      <c r="K30">
        <v>1</v>
      </c>
      <c r="L30">
        <v>901</v>
      </c>
      <c r="M30">
        <f t="shared" si="1"/>
        <v>0.75</v>
      </c>
    </row>
    <row r="31" spans="1:13">
      <c r="A31" t="s">
        <v>125</v>
      </c>
      <c r="B31" s="1" t="s">
        <v>124</v>
      </c>
      <c r="C31" t="s">
        <v>126</v>
      </c>
      <c r="D31" t="s">
        <v>171</v>
      </c>
      <c r="E31" t="s">
        <v>492</v>
      </c>
      <c r="F31" t="s">
        <v>472</v>
      </c>
      <c r="G31">
        <v>1</v>
      </c>
      <c r="H31">
        <v>0.66700000000000004</v>
      </c>
      <c r="I31">
        <f t="shared" si="0"/>
        <v>0.80023995200959808</v>
      </c>
      <c r="J31">
        <v>0</v>
      </c>
      <c r="K31">
        <v>0</v>
      </c>
      <c r="L31">
        <v>801</v>
      </c>
      <c r="M31">
        <f t="shared" si="1"/>
        <v>0</v>
      </c>
    </row>
    <row r="32" spans="1:13">
      <c r="A32" t="s">
        <v>129</v>
      </c>
      <c r="B32" s="1" t="s">
        <v>130</v>
      </c>
      <c r="C32" t="s">
        <v>131</v>
      </c>
      <c r="D32" t="s">
        <v>91</v>
      </c>
      <c r="E32" t="s">
        <v>493</v>
      </c>
      <c r="F32" t="s">
        <v>44</v>
      </c>
      <c r="G32">
        <v>1</v>
      </c>
      <c r="H32">
        <v>0.33300000000000002</v>
      </c>
      <c r="I32">
        <f t="shared" si="0"/>
        <v>0.4996249062265567</v>
      </c>
      <c r="J32">
        <v>0.33300000000000002</v>
      </c>
      <c r="K32">
        <v>0.4</v>
      </c>
      <c r="L32">
        <v>701</v>
      </c>
      <c r="M32">
        <f t="shared" si="1"/>
        <v>0.36299999999999999</v>
      </c>
    </row>
    <row r="33" spans="1:13">
      <c r="A33" s="3" t="s">
        <v>133</v>
      </c>
      <c r="B33" s="1" t="s">
        <v>115</v>
      </c>
      <c r="C33" t="s">
        <v>134</v>
      </c>
      <c r="D33" t="s">
        <v>115</v>
      </c>
      <c r="E33" t="s">
        <v>494</v>
      </c>
      <c r="F33" t="s">
        <v>374</v>
      </c>
      <c r="G33">
        <v>1</v>
      </c>
      <c r="H33">
        <v>1</v>
      </c>
      <c r="I33">
        <f t="shared" si="0"/>
        <v>1</v>
      </c>
      <c r="J33">
        <v>1</v>
      </c>
      <c r="K33">
        <v>0.8</v>
      </c>
      <c r="L33">
        <v>779</v>
      </c>
      <c r="M33">
        <f t="shared" si="1"/>
        <v>0.88900000000000001</v>
      </c>
    </row>
    <row r="34" spans="1:13">
      <c r="A34" t="s">
        <v>137</v>
      </c>
      <c r="B34" s="1" t="s">
        <v>91</v>
      </c>
      <c r="C34" t="s">
        <v>138</v>
      </c>
      <c r="D34" t="s">
        <v>91</v>
      </c>
      <c r="E34" t="s">
        <v>139</v>
      </c>
      <c r="F34" t="s">
        <v>44</v>
      </c>
      <c r="G34">
        <v>1</v>
      </c>
      <c r="H34">
        <v>1</v>
      </c>
      <c r="I34">
        <f t="shared" ref="I34:I65" si="2">IF(G34+H34=0,0,2*G34*H34/(G34+H34))</f>
        <v>1</v>
      </c>
      <c r="J34">
        <v>0.375</v>
      </c>
      <c r="K34">
        <v>0.6</v>
      </c>
      <c r="L34">
        <v>704</v>
      </c>
      <c r="M34">
        <f t="shared" ref="M34:M65" si="3">IF(J34+K34=0,0,ROUND(2*J34*K34/(J34+K34),3))</f>
        <v>0.46200000000000002</v>
      </c>
    </row>
    <row r="35" spans="1:13">
      <c r="A35" t="s">
        <v>140</v>
      </c>
      <c r="B35" s="1" t="s">
        <v>7</v>
      </c>
      <c r="C35" t="s">
        <v>141</v>
      </c>
      <c r="D35" t="s">
        <v>115</v>
      </c>
      <c r="E35" t="s">
        <v>495</v>
      </c>
      <c r="F35" t="s">
        <v>472</v>
      </c>
      <c r="G35">
        <v>0.5</v>
      </c>
      <c r="H35">
        <v>0.5</v>
      </c>
      <c r="I35">
        <f t="shared" si="2"/>
        <v>0.5</v>
      </c>
      <c r="J35">
        <v>1</v>
      </c>
      <c r="K35">
        <v>0.83299999999999996</v>
      </c>
      <c r="L35">
        <v>780</v>
      </c>
      <c r="M35">
        <f t="shared" si="3"/>
        <v>0.90900000000000003</v>
      </c>
    </row>
    <row r="36" spans="1:13">
      <c r="A36" t="s">
        <v>143</v>
      </c>
      <c r="B36" s="1" t="s">
        <v>3</v>
      </c>
      <c r="C36" t="s">
        <v>97</v>
      </c>
      <c r="D36" t="s">
        <v>3</v>
      </c>
      <c r="E36" t="s">
        <v>97</v>
      </c>
      <c r="F36" t="s">
        <v>35</v>
      </c>
      <c r="G36">
        <v>1</v>
      </c>
      <c r="H36">
        <v>1</v>
      </c>
      <c r="I36">
        <f t="shared" si="2"/>
        <v>1</v>
      </c>
      <c r="J36">
        <v>1</v>
      </c>
      <c r="K36">
        <v>1</v>
      </c>
      <c r="L36">
        <v>667</v>
      </c>
      <c r="M36">
        <f t="shared" si="3"/>
        <v>1</v>
      </c>
    </row>
    <row r="37" spans="1:13">
      <c r="A37" t="s">
        <v>144</v>
      </c>
      <c r="B37" s="1" t="s">
        <v>145</v>
      </c>
      <c r="C37" t="s">
        <v>146</v>
      </c>
      <c r="D37" t="s">
        <v>147</v>
      </c>
      <c r="E37" t="s">
        <v>496</v>
      </c>
      <c r="F37" t="s">
        <v>17</v>
      </c>
      <c r="G37">
        <v>0.5</v>
      </c>
      <c r="H37">
        <v>0.5</v>
      </c>
      <c r="I37">
        <f t="shared" si="2"/>
        <v>0.5</v>
      </c>
      <c r="J37">
        <v>0.66700000000000004</v>
      </c>
      <c r="K37">
        <v>1</v>
      </c>
      <c r="L37">
        <v>773</v>
      </c>
      <c r="M37">
        <f t="shared" si="3"/>
        <v>0.8</v>
      </c>
    </row>
    <row r="38" spans="1:13">
      <c r="A38" t="s">
        <v>149</v>
      </c>
      <c r="B38" s="1" t="s">
        <v>61</v>
      </c>
      <c r="C38" t="s">
        <v>150</v>
      </c>
      <c r="D38" t="s">
        <v>497</v>
      </c>
      <c r="E38" t="s">
        <v>498</v>
      </c>
      <c r="F38" t="s">
        <v>469</v>
      </c>
      <c r="G38">
        <v>0.33300000000000002</v>
      </c>
      <c r="H38">
        <v>1</v>
      </c>
      <c r="I38">
        <f t="shared" si="2"/>
        <v>0.4996249062265567</v>
      </c>
      <c r="J38">
        <v>0.75</v>
      </c>
      <c r="K38">
        <v>1</v>
      </c>
      <c r="L38">
        <v>901</v>
      </c>
      <c r="M38">
        <f t="shared" si="3"/>
        <v>0.85699999999999998</v>
      </c>
    </row>
    <row r="39" spans="1:13">
      <c r="A39" t="s">
        <v>152</v>
      </c>
      <c r="B39" s="1" t="s">
        <v>153</v>
      </c>
      <c r="C39" t="s">
        <v>154</v>
      </c>
      <c r="D39" t="s">
        <v>54</v>
      </c>
      <c r="E39" t="s">
        <v>369</v>
      </c>
      <c r="F39" t="s">
        <v>341</v>
      </c>
      <c r="G39">
        <v>1</v>
      </c>
      <c r="H39">
        <v>0.5</v>
      </c>
      <c r="I39">
        <f t="shared" si="2"/>
        <v>0.66666666666666663</v>
      </c>
      <c r="J39">
        <v>0.5</v>
      </c>
      <c r="K39">
        <v>0.33300000000000002</v>
      </c>
      <c r="L39">
        <v>681</v>
      </c>
      <c r="M39">
        <f t="shared" si="3"/>
        <v>0.4</v>
      </c>
    </row>
    <row r="40" spans="1:13">
      <c r="A40" t="s">
        <v>156</v>
      </c>
      <c r="B40" s="1" t="s">
        <v>157</v>
      </c>
      <c r="C40" t="s">
        <v>158</v>
      </c>
      <c r="D40" t="s">
        <v>157</v>
      </c>
      <c r="E40" t="s">
        <v>499</v>
      </c>
      <c r="F40" t="s">
        <v>341</v>
      </c>
      <c r="G40">
        <v>1</v>
      </c>
      <c r="H40">
        <v>1</v>
      </c>
      <c r="I40">
        <f t="shared" si="2"/>
        <v>1</v>
      </c>
      <c r="J40">
        <v>1</v>
      </c>
      <c r="K40">
        <v>0.5</v>
      </c>
      <c r="L40">
        <v>715</v>
      </c>
      <c r="M40">
        <f t="shared" si="3"/>
        <v>0.66700000000000004</v>
      </c>
    </row>
    <row r="41" spans="1:13">
      <c r="A41" t="s">
        <v>161</v>
      </c>
      <c r="B41" s="1" t="s">
        <v>7</v>
      </c>
      <c r="C41" t="s">
        <v>162</v>
      </c>
      <c r="D41" t="s">
        <v>9</v>
      </c>
      <c r="E41" t="s">
        <v>163</v>
      </c>
      <c r="F41" t="s">
        <v>374</v>
      </c>
      <c r="G41">
        <v>1</v>
      </c>
      <c r="H41">
        <v>0.5</v>
      </c>
      <c r="I41">
        <f t="shared" si="2"/>
        <v>0.66666666666666663</v>
      </c>
      <c r="J41">
        <v>1</v>
      </c>
      <c r="K41">
        <v>0.75</v>
      </c>
      <c r="L41">
        <v>703</v>
      </c>
      <c r="M41">
        <f t="shared" si="3"/>
        <v>0.85699999999999998</v>
      </c>
    </row>
    <row r="42" spans="1:13">
      <c r="A42" t="s">
        <v>164</v>
      </c>
      <c r="B42" s="1" t="s">
        <v>165</v>
      </c>
      <c r="C42" t="s">
        <v>166</v>
      </c>
      <c r="D42" t="s">
        <v>277</v>
      </c>
      <c r="E42" t="s">
        <v>500</v>
      </c>
      <c r="G42">
        <v>1</v>
      </c>
      <c r="H42">
        <v>0.33300000000000002</v>
      </c>
      <c r="I42">
        <f t="shared" si="2"/>
        <v>0.4996249062265567</v>
      </c>
      <c r="J42">
        <v>0</v>
      </c>
      <c r="K42">
        <v>0</v>
      </c>
      <c r="L42">
        <v>677</v>
      </c>
      <c r="M42">
        <f t="shared" si="3"/>
        <v>0</v>
      </c>
    </row>
    <row r="43" spans="1:13">
      <c r="A43" t="s">
        <v>169</v>
      </c>
      <c r="B43" s="1" t="s">
        <v>48</v>
      </c>
      <c r="C43" t="s">
        <v>170</v>
      </c>
      <c r="D43" t="s">
        <v>305</v>
      </c>
      <c r="E43" t="s">
        <v>501</v>
      </c>
      <c r="F43" t="s">
        <v>472</v>
      </c>
      <c r="G43">
        <v>1</v>
      </c>
      <c r="H43">
        <v>1</v>
      </c>
      <c r="I43">
        <f t="shared" si="2"/>
        <v>1</v>
      </c>
      <c r="J43">
        <v>0.75</v>
      </c>
      <c r="K43">
        <v>0.6</v>
      </c>
      <c r="L43">
        <v>803</v>
      </c>
      <c r="M43">
        <f t="shared" si="3"/>
        <v>0.66700000000000004</v>
      </c>
    </row>
    <row r="44" spans="1:13">
      <c r="A44" t="s">
        <v>173</v>
      </c>
      <c r="B44" s="1" t="s">
        <v>19</v>
      </c>
      <c r="C44" t="s">
        <v>174</v>
      </c>
      <c r="D44" t="s">
        <v>277</v>
      </c>
      <c r="E44" t="s">
        <v>118</v>
      </c>
      <c r="F44" t="s">
        <v>341</v>
      </c>
      <c r="G44">
        <v>0</v>
      </c>
      <c r="H44">
        <v>0</v>
      </c>
      <c r="I44">
        <f t="shared" si="2"/>
        <v>0</v>
      </c>
      <c r="J44">
        <v>0</v>
      </c>
      <c r="K44">
        <v>0</v>
      </c>
      <c r="L44">
        <v>677</v>
      </c>
      <c r="M44">
        <f t="shared" si="3"/>
        <v>0</v>
      </c>
    </row>
    <row r="45" spans="1:13">
      <c r="A45" t="s">
        <v>177</v>
      </c>
      <c r="B45" s="1" t="s">
        <v>178</v>
      </c>
      <c r="C45" t="s">
        <v>92</v>
      </c>
      <c r="D45" t="s">
        <v>91</v>
      </c>
      <c r="E45" t="s">
        <v>502</v>
      </c>
      <c r="F45" t="s">
        <v>44</v>
      </c>
      <c r="G45">
        <v>1</v>
      </c>
      <c r="H45">
        <v>0.5</v>
      </c>
      <c r="I45">
        <f t="shared" si="2"/>
        <v>0.66666666666666663</v>
      </c>
      <c r="J45">
        <v>0.625</v>
      </c>
      <c r="K45">
        <v>1</v>
      </c>
      <c r="L45">
        <v>702</v>
      </c>
      <c r="M45">
        <f t="shared" si="3"/>
        <v>0.76900000000000002</v>
      </c>
    </row>
    <row r="46" spans="1:13">
      <c r="A46" t="s">
        <v>180</v>
      </c>
      <c r="B46" s="1" t="s">
        <v>61</v>
      </c>
      <c r="C46" t="s">
        <v>49</v>
      </c>
      <c r="D46" t="s">
        <v>503</v>
      </c>
      <c r="E46" t="s">
        <v>504</v>
      </c>
      <c r="F46" t="s">
        <v>23</v>
      </c>
      <c r="G46">
        <v>0</v>
      </c>
      <c r="H46">
        <v>0</v>
      </c>
      <c r="I46">
        <f t="shared" si="2"/>
        <v>0</v>
      </c>
      <c r="J46">
        <v>0</v>
      </c>
      <c r="K46">
        <v>0</v>
      </c>
      <c r="L46">
        <v>667</v>
      </c>
      <c r="M46">
        <f t="shared" si="3"/>
        <v>0</v>
      </c>
    </row>
    <row r="47" spans="1:13">
      <c r="A47" t="s">
        <v>182</v>
      </c>
      <c r="B47" s="1" t="s">
        <v>183</v>
      </c>
      <c r="C47" t="s">
        <v>184</v>
      </c>
      <c r="D47" t="s">
        <v>277</v>
      </c>
      <c r="E47" t="s">
        <v>118</v>
      </c>
      <c r="F47" t="s">
        <v>341</v>
      </c>
      <c r="G47">
        <v>1</v>
      </c>
      <c r="H47">
        <v>0.5</v>
      </c>
      <c r="I47">
        <f t="shared" si="2"/>
        <v>0.66666666666666663</v>
      </c>
      <c r="J47">
        <v>1</v>
      </c>
      <c r="K47">
        <v>0.5</v>
      </c>
      <c r="L47">
        <v>677</v>
      </c>
      <c r="M47">
        <f t="shared" si="3"/>
        <v>0.66700000000000004</v>
      </c>
    </row>
    <row r="48" spans="1:13">
      <c r="A48" t="s">
        <v>186</v>
      </c>
      <c r="B48" s="1" t="s">
        <v>61</v>
      </c>
      <c r="C48" t="s">
        <v>187</v>
      </c>
      <c r="D48" t="s">
        <v>54</v>
      </c>
      <c r="E48" t="s">
        <v>55</v>
      </c>
      <c r="F48" t="s">
        <v>341</v>
      </c>
      <c r="G48">
        <v>0</v>
      </c>
      <c r="H48">
        <v>0</v>
      </c>
      <c r="I48">
        <f t="shared" si="2"/>
        <v>0</v>
      </c>
      <c r="J48">
        <v>0</v>
      </c>
      <c r="K48">
        <v>0</v>
      </c>
      <c r="L48">
        <v>680</v>
      </c>
      <c r="M48">
        <f t="shared" si="3"/>
        <v>0</v>
      </c>
    </row>
    <row r="49" spans="1:13">
      <c r="A49" t="s">
        <v>188</v>
      </c>
      <c r="B49" s="1" t="s">
        <v>48</v>
      </c>
      <c r="C49" t="s">
        <v>189</v>
      </c>
      <c r="D49" t="s">
        <v>497</v>
      </c>
      <c r="E49" t="s">
        <v>191</v>
      </c>
      <c r="F49" t="s">
        <v>472</v>
      </c>
      <c r="G49">
        <v>0.66700000000000004</v>
      </c>
      <c r="H49">
        <v>1</v>
      </c>
      <c r="I49">
        <f t="shared" si="2"/>
        <v>0.80023995200959808</v>
      </c>
      <c r="J49">
        <v>0.6</v>
      </c>
      <c r="K49">
        <v>0.75</v>
      </c>
      <c r="L49">
        <v>904</v>
      </c>
      <c r="M49">
        <f t="shared" si="3"/>
        <v>0.66700000000000004</v>
      </c>
    </row>
    <row r="50" spans="1:13">
      <c r="A50" t="s">
        <v>192</v>
      </c>
      <c r="B50" s="1" t="s">
        <v>157</v>
      </c>
      <c r="C50" t="s">
        <v>193</v>
      </c>
      <c r="D50" t="s">
        <v>157</v>
      </c>
      <c r="E50" t="s">
        <v>505</v>
      </c>
      <c r="F50" t="s">
        <v>472</v>
      </c>
      <c r="G50">
        <v>1</v>
      </c>
      <c r="H50">
        <v>1</v>
      </c>
      <c r="I50">
        <f t="shared" si="2"/>
        <v>1</v>
      </c>
      <c r="J50">
        <v>0.6</v>
      </c>
      <c r="K50">
        <v>0.75</v>
      </c>
      <c r="L50">
        <v>720</v>
      </c>
      <c r="M50">
        <f t="shared" si="3"/>
        <v>0.66700000000000004</v>
      </c>
    </row>
    <row r="51" spans="1:13">
      <c r="A51" t="s">
        <v>196</v>
      </c>
      <c r="B51" s="1" t="s">
        <v>7</v>
      </c>
      <c r="C51" t="s">
        <v>162</v>
      </c>
      <c r="D51" t="s">
        <v>9</v>
      </c>
      <c r="E51" t="s">
        <v>10</v>
      </c>
      <c r="F51" t="s">
        <v>374</v>
      </c>
      <c r="G51">
        <v>1</v>
      </c>
      <c r="H51">
        <v>0.5</v>
      </c>
      <c r="I51">
        <f t="shared" si="2"/>
        <v>0.66666666666666663</v>
      </c>
      <c r="J51">
        <v>1</v>
      </c>
      <c r="K51">
        <v>0.75</v>
      </c>
      <c r="L51">
        <v>705</v>
      </c>
      <c r="M51">
        <f t="shared" si="3"/>
        <v>0.85699999999999998</v>
      </c>
    </row>
    <row r="52" spans="1:13">
      <c r="A52" t="s">
        <v>198</v>
      </c>
      <c r="B52" s="1" t="s">
        <v>199</v>
      </c>
      <c r="C52" t="s">
        <v>200</v>
      </c>
      <c r="D52" t="s">
        <v>435</v>
      </c>
      <c r="E52" t="s">
        <v>506</v>
      </c>
      <c r="F52" t="s">
        <v>472</v>
      </c>
      <c r="G52">
        <v>1</v>
      </c>
      <c r="H52">
        <v>0.33300000000000002</v>
      </c>
      <c r="I52">
        <f t="shared" si="2"/>
        <v>0.4996249062265567</v>
      </c>
      <c r="J52">
        <v>0.6</v>
      </c>
      <c r="K52">
        <v>0.75</v>
      </c>
      <c r="L52">
        <v>701</v>
      </c>
      <c r="M52">
        <f t="shared" si="3"/>
        <v>0.66700000000000004</v>
      </c>
    </row>
    <row r="53" spans="1:13">
      <c r="A53" t="s">
        <v>203</v>
      </c>
      <c r="B53" s="1" t="s">
        <v>25</v>
      </c>
      <c r="C53" t="s">
        <v>204</v>
      </c>
      <c r="D53" t="s">
        <v>54</v>
      </c>
      <c r="E53" t="s">
        <v>369</v>
      </c>
      <c r="F53" t="s">
        <v>341</v>
      </c>
      <c r="G53">
        <v>1</v>
      </c>
      <c r="H53">
        <v>0.5</v>
      </c>
      <c r="I53">
        <f t="shared" si="2"/>
        <v>0.66666666666666663</v>
      </c>
      <c r="J53">
        <v>0.5</v>
      </c>
      <c r="K53">
        <v>0.25</v>
      </c>
      <c r="L53">
        <v>681</v>
      </c>
      <c r="M53">
        <f t="shared" si="3"/>
        <v>0.33300000000000002</v>
      </c>
    </row>
    <row r="54" spans="1:13">
      <c r="A54" t="s">
        <v>207</v>
      </c>
      <c r="B54" s="1" t="s">
        <v>1</v>
      </c>
      <c r="C54" t="s">
        <v>208</v>
      </c>
      <c r="D54" t="s">
        <v>3</v>
      </c>
      <c r="E54" t="s">
        <v>4</v>
      </c>
      <c r="F54" t="s">
        <v>5</v>
      </c>
      <c r="G54">
        <v>1</v>
      </c>
      <c r="H54">
        <v>0.5</v>
      </c>
      <c r="I54">
        <f t="shared" si="2"/>
        <v>0.66666666666666663</v>
      </c>
      <c r="J54">
        <v>0</v>
      </c>
      <c r="K54">
        <v>0</v>
      </c>
      <c r="L54">
        <v>670</v>
      </c>
      <c r="M54">
        <f t="shared" si="3"/>
        <v>0</v>
      </c>
    </row>
    <row r="55" spans="1:13">
      <c r="A55" t="s">
        <v>209</v>
      </c>
      <c r="B55" s="1" t="s">
        <v>113</v>
      </c>
      <c r="C55" t="s">
        <v>210</v>
      </c>
      <c r="D55" t="s">
        <v>113</v>
      </c>
      <c r="E55" t="s">
        <v>507</v>
      </c>
      <c r="F55" t="s">
        <v>472</v>
      </c>
      <c r="G55">
        <v>1</v>
      </c>
      <c r="H55">
        <v>1</v>
      </c>
      <c r="I55">
        <f t="shared" si="2"/>
        <v>1</v>
      </c>
      <c r="J55">
        <v>0.8</v>
      </c>
      <c r="K55">
        <v>0.83299999999999996</v>
      </c>
      <c r="L55">
        <v>715</v>
      </c>
      <c r="M55">
        <f t="shared" si="3"/>
        <v>0.81599999999999995</v>
      </c>
    </row>
    <row r="56" spans="1:13">
      <c r="A56" t="s">
        <v>212</v>
      </c>
      <c r="B56" s="1" t="s">
        <v>67</v>
      </c>
      <c r="C56" t="s">
        <v>213</v>
      </c>
      <c r="D56" t="s">
        <v>67</v>
      </c>
      <c r="E56" t="s">
        <v>211</v>
      </c>
      <c r="F56" t="s">
        <v>374</v>
      </c>
      <c r="G56">
        <v>1</v>
      </c>
      <c r="H56">
        <v>1</v>
      </c>
      <c r="I56">
        <f t="shared" si="2"/>
        <v>1</v>
      </c>
      <c r="J56">
        <v>1</v>
      </c>
      <c r="K56">
        <v>0.75</v>
      </c>
      <c r="L56">
        <v>763</v>
      </c>
      <c r="M56">
        <f t="shared" si="3"/>
        <v>0.85699999999999998</v>
      </c>
    </row>
    <row r="57" spans="1:13">
      <c r="A57" t="s">
        <v>215</v>
      </c>
      <c r="B57" s="1" t="s">
        <v>216</v>
      </c>
      <c r="C57" t="s">
        <v>217</v>
      </c>
      <c r="D57" t="s">
        <v>263</v>
      </c>
      <c r="E57" t="s">
        <v>22</v>
      </c>
      <c r="F57" t="s">
        <v>23</v>
      </c>
      <c r="G57">
        <v>1</v>
      </c>
      <c r="H57">
        <v>0.33300000000000002</v>
      </c>
      <c r="I57">
        <f t="shared" si="2"/>
        <v>0.4996249062265567</v>
      </c>
      <c r="J57">
        <v>1</v>
      </c>
      <c r="K57">
        <v>0.5</v>
      </c>
      <c r="L57">
        <v>756</v>
      </c>
      <c r="M57">
        <f t="shared" si="3"/>
        <v>0.66700000000000004</v>
      </c>
    </row>
    <row r="58" spans="1:13">
      <c r="A58" t="s">
        <v>218</v>
      </c>
      <c r="B58" s="1" t="s">
        <v>656</v>
      </c>
      <c r="C58" t="s">
        <v>22</v>
      </c>
      <c r="D58" t="s">
        <v>91</v>
      </c>
      <c r="E58" t="s">
        <v>22</v>
      </c>
      <c r="F58" t="s">
        <v>23</v>
      </c>
      <c r="G58">
        <v>1</v>
      </c>
      <c r="H58">
        <v>0.33300000000000002</v>
      </c>
      <c r="I58">
        <f t="shared" si="2"/>
        <v>0.4996249062265567</v>
      </c>
      <c r="J58">
        <v>1</v>
      </c>
      <c r="K58">
        <v>1</v>
      </c>
      <c r="L58">
        <v>687</v>
      </c>
      <c r="M58">
        <f t="shared" si="3"/>
        <v>1</v>
      </c>
    </row>
    <row r="59" spans="1:13">
      <c r="A59" t="s">
        <v>219</v>
      </c>
      <c r="B59" s="1" t="s">
        <v>220</v>
      </c>
      <c r="C59" t="s">
        <v>221</v>
      </c>
      <c r="D59" t="s">
        <v>1</v>
      </c>
      <c r="E59" t="s">
        <v>221</v>
      </c>
      <c r="F59" t="s">
        <v>222</v>
      </c>
      <c r="G59">
        <v>1</v>
      </c>
      <c r="H59">
        <v>1</v>
      </c>
      <c r="I59">
        <f t="shared" si="2"/>
        <v>1</v>
      </c>
      <c r="J59">
        <v>1</v>
      </c>
      <c r="K59">
        <v>1</v>
      </c>
      <c r="L59">
        <v>764</v>
      </c>
      <c r="M59">
        <f t="shared" si="3"/>
        <v>1</v>
      </c>
    </row>
    <row r="60" spans="1:13">
      <c r="A60" t="s">
        <v>223</v>
      </c>
      <c r="B60" s="1" t="s">
        <v>7</v>
      </c>
      <c r="C60" t="s">
        <v>213</v>
      </c>
      <c r="D60" t="s">
        <v>9</v>
      </c>
      <c r="E60" t="s">
        <v>197</v>
      </c>
      <c r="F60" t="s">
        <v>374</v>
      </c>
      <c r="G60">
        <v>1</v>
      </c>
      <c r="H60">
        <v>0.5</v>
      </c>
      <c r="I60">
        <f t="shared" si="2"/>
        <v>0.66666666666666663</v>
      </c>
      <c r="J60">
        <v>1</v>
      </c>
      <c r="K60">
        <v>0.5</v>
      </c>
      <c r="L60">
        <v>701</v>
      </c>
      <c r="M60">
        <f t="shared" si="3"/>
        <v>0.66700000000000004</v>
      </c>
    </row>
    <row r="61" spans="1:13">
      <c r="A61" t="s">
        <v>224</v>
      </c>
      <c r="B61" s="1" t="s">
        <v>225</v>
      </c>
      <c r="C61" t="s">
        <v>226</v>
      </c>
      <c r="D61" t="s">
        <v>453</v>
      </c>
      <c r="E61" t="s">
        <v>508</v>
      </c>
      <c r="F61" t="s">
        <v>341</v>
      </c>
      <c r="G61">
        <v>0.5</v>
      </c>
      <c r="H61">
        <v>0.5</v>
      </c>
      <c r="I61">
        <f t="shared" si="2"/>
        <v>0.5</v>
      </c>
      <c r="J61">
        <v>0.75</v>
      </c>
      <c r="K61">
        <v>0.75</v>
      </c>
      <c r="L61">
        <v>780</v>
      </c>
      <c r="M61">
        <f t="shared" si="3"/>
        <v>0.75</v>
      </c>
    </row>
    <row r="62" spans="1:13">
      <c r="A62" t="s">
        <v>228</v>
      </c>
      <c r="B62" s="1" t="s">
        <v>229</v>
      </c>
      <c r="C62" t="s">
        <v>230</v>
      </c>
      <c r="D62" t="s">
        <v>147</v>
      </c>
      <c r="E62" t="s">
        <v>509</v>
      </c>
      <c r="F62" t="s">
        <v>510</v>
      </c>
      <c r="G62">
        <v>0.5</v>
      </c>
      <c r="H62">
        <v>0.5</v>
      </c>
      <c r="I62">
        <f t="shared" si="2"/>
        <v>0.5</v>
      </c>
      <c r="J62">
        <v>0.25</v>
      </c>
      <c r="K62">
        <v>0.5</v>
      </c>
      <c r="L62">
        <v>776</v>
      </c>
      <c r="M62">
        <f t="shared" si="3"/>
        <v>0.33300000000000002</v>
      </c>
    </row>
    <row r="63" spans="1:13">
      <c r="A63" t="s">
        <v>232</v>
      </c>
      <c r="B63" s="1" t="s">
        <v>61</v>
      </c>
      <c r="C63" t="s">
        <v>233</v>
      </c>
      <c r="D63" t="s">
        <v>61</v>
      </c>
      <c r="E63" t="s">
        <v>511</v>
      </c>
      <c r="F63" t="s">
        <v>472</v>
      </c>
      <c r="G63">
        <v>1</v>
      </c>
      <c r="H63">
        <v>1</v>
      </c>
      <c r="I63">
        <f t="shared" si="2"/>
        <v>1</v>
      </c>
      <c r="J63">
        <v>0.57099999999999995</v>
      </c>
      <c r="K63">
        <v>0.5</v>
      </c>
      <c r="L63">
        <v>759</v>
      </c>
      <c r="M63">
        <f t="shared" si="3"/>
        <v>0.53300000000000003</v>
      </c>
    </row>
    <row r="64" spans="1:13">
      <c r="A64" t="s">
        <v>235</v>
      </c>
      <c r="B64" s="1" t="s">
        <v>236</v>
      </c>
      <c r="C64" t="s">
        <v>237</v>
      </c>
      <c r="D64" t="s">
        <v>277</v>
      </c>
      <c r="E64" t="s">
        <v>118</v>
      </c>
      <c r="F64" t="s">
        <v>341</v>
      </c>
      <c r="G64">
        <v>1</v>
      </c>
      <c r="H64">
        <v>0.33300000000000002</v>
      </c>
      <c r="I64">
        <f t="shared" si="2"/>
        <v>0.4996249062265567</v>
      </c>
      <c r="J64">
        <v>0</v>
      </c>
      <c r="K64">
        <v>0</v>
      </c>
      <c r="L64">
        <v>677</v>
      </c>
      <c r="M64">
        <f t="shared" si="3"/>
        <v>0</v>
      </c>
    </row>
    <row r="65" spans="1:13">
      <c r="A65" t="s">
        <v>240</v>
      </c>
      <c r="B65" s="1" t="s">
        <v>220</v>
      </c>
      <c r="C65" t="s">
        <v>221</v>
      </c>
      <c r="D65" t="s">
        <v>3</v>
      </c>
      <c r="E65" t="s">
        <v>373</v>
      </c>
      <c r="F65" t="s">
        <v>5</v>
      </c>
      <c r="G65">
        <v>1</v>
      </c>
      <c r="H65">
        <v>0.5</v>
      </c>
      <c r="I65">
        <f t="shared" si="2"/>
        <v>0.66666666666666663</v>
      </c>
      <c r="J65">
        <v>0.5</v>
      </c>
      <c r="K65">
        <v>1</v>
      </c>
      <c r="L65">
        <v>682</v>
      </c>
      <c r="M65">
        <f t="shared" si="3"/>
        <v>0.66700000000000004</v>
      </c>
    </row>
    <row r="66" spans="1:13">
      <c r="A66" t="s">
        <v>242</v>
      </c>
      <c r="B66" s="1" t="s">
        <v>25</v>
      </c>
      <c r="C66" t="s">
        <v>243</v>
      </c>
      <c r="D66" t="s">
        <v>54</v>
      </c>
      <c r="E66" t="s">
        <v>55</v>
      </c>
      <c r="F66" t="s">
        <v>341</v>
      </c>
      <c r="G66">
        <v>1</v>
      </c>
      <c r="H66">
        <v>0.5</v>
      </c>
      <c r="I66">
        <f t="shared" ref="I66:I97" si="4">IF(G66+H66=0,0,2*G66*H66/(G66+H66))</f>
        <v>0.66666666666666663</v>
      </c>
      <c r="J66">
        <v>1</v>
      </c>
      <c r="K66">
        <v>0.5</v>
      </c>
      <c r="L66">
        <v>686</v>
      </c>
      <c r="M66">
        <f t="shared" ref="M66:M94" si="5">IF(J66+K66=0,0,ROUND(2*J66*K66/(J66+K66),3))</f>
        <v>0.66700000000000004</v>
      </c>
    </row>
    <row r="67" spans="1:13">
      <c r="A67" t="s">
        <v>244</v>
      </c>
      <c r="B67" s="1" t="s">
        <v>245</v>
      </c>
      <c r="C67" t="s">
        <v>246</v>
      </c>
      <c r="D67" t="s">
        <v>512</v>
      </c>
      <c r="E67" t="s">
        <v>500</v>
      </c>
      <c r="G67">
        <v>0.33300000000000002</v>
      </c>
      <c r="H67">
        <v>0.5</v>
      </c>
      <c r="I67">
        <f t="shared" si="4"/>
        <v>0.39975990396158467</v>
      </c>
      <c r="J67">
        <v>0</v>
      </c>
      <c r="K67">
        <v>0</v>
      </c>
      <c r="L67">
        <v>746</v>
      </c>
      <c r="M67">
        <f t="shared" si="5"/>
        <v>0</v>
      </c>
    </row>
    <row r="68" spans="1:13">
      <c r="A68" t="s">
        <v>249</v>
      </c>
      <c r="B68" s="1" t="s">
        <v>54</v>
      </c>
      <c r="C68" t="s">
        <v>250</v>
      </c>
      <c r="D68" t="s">
        <v>54</v>
      </c>
      <c r="E68" t="s">
        <v>513</v>
      </c>
      <c r="F68" t="s">
        <v>222</v>
      </c>
      <c r="G68">
        <v>1</v>
      </c>
      <c r="H68">
        <v>1</v>
      </c>
      <c r="I68">
        <f t="shared" si="4"/>
        <v>1</v>
      </c>
      <c r="J68">
        <v>1</v>
      </c>
      <c r="K68">
        <v>0.5</v>
      </c>
      <c r="L68">
        <v>682</v>
      </c>
      <c r="M68">
        <f t="shared" si="5"/>
        <v>0.66700000000000004</v>
      </c>
    </row>
    <row r="69" spans="1:13">
      <c r="A69" t="s">
        <v>253</v>
      </c>
      <c r="B69" s="1" t="s">
        <v>254</v>
      </c>
      <c r="C69" t="s">
        <v>255</v>
      </c>
      <c r="D69" t="s">
        <v>450</v>
      </c>
      <c r="E69" t="s">
        <v>514</v>
      </c>
      <c r="F69" t="s">
        <v>374</v>
      </c>
      <c r="G69">
        <v>0.5</v>
      </c>
      <c r="H69">
        <v>0.5</v>
      </c>
      <c r="I69">
        <f t="shared" si="4"/>
        <v>0.5</v>
      </c>
      <c r="J69">
        <v>0.4</v>
      </c>
      <c r="K69">
        <v>0.5</v>
      </c>
      <c r="L69">
        <v>773</v>
      </c>
      <c r="M69">
        <f t="shared" si="5"/>
        <v>0.44400000000000001</v>
      </c>
    </row>
    <row r="70" spans="1:13">
      <c r="A70" t="s">
        <v>257</v>
      </c>
      <c r="B70" s="1" t="s">
        <v>7</v>
      </c>
      <c r="C70" t="s">
        <v>258</v>
      </c>
      <c r="D70" t="s">
        <v>9</v>
      </c>
      <c r="E70" t="s">
        <v>10</v>
      </c>
      <c r="F70" t="s">
        <v>374</v>
      </c>
      <c r="G70">
        <v>1</v>
      </c>
      <c r="H70">
        <v>0.5</v>
      </c>
      <c r="I70">
        <f t="shared" si="4"/>
        <v>0.66666666666666663</v>
      </c>
      <c r="J70">
        <v>0.66700000000000004</v>
      </c>
      <c r="K70">
        <v>0.33300000000000002</v>
      </c>
      <c r="L70">
        <v>699</v>
      </c>
      <c r="M70">
        <f t="shared" si="5"/>
        <v>0.44400000000000001</v>
      </c>
    </row>
    <row r="71" spans="1:13">
      <c r="A71" t="s">
        <v>261</v>
      </c>
      <c r="B71" s="1" t="s">
        <v>25</v>
      </c>
      <c r="C71" t="s">
        <v>118</v>
      </c>
      <c r="D71" t="s">
        <v>33</v>
      </c>
      <c r="E71" t="s">
        <v>262</v>
      </c>
      <c r="F71" t="s">
        <v>341</v>
      </c>
      <c r="G71">
        <v>1</v>
      </c>
      <c r="H71">
        <v>0.5</v>
      </c>
      <c r="I71">
        <f t="shared" si="4"/>
        <v>0.66666666666666663</v>
      </c>
      <c r="J71">
        <v>0.66700000000000004</v>
      </c>
      <c r="K71">
        <v>1</v>
      </c>
      <c r="L71">
        <v>664</v>
      </c>
      <c r="M71">
        <f t="shared" si="5"/>
        <v>0.8</v>
      </c>
    </row>
    <row r="72" spans="1:13">
      <c r="A72" t="s">
        <v>18</v>
      </c>
      <c r="B72" s="1" t="s">
        <v>46</v>
      </c>
      <c r="C72" t="s">
        <v>22</v>
      </c>
      <c r="D72" t="s">
        <v>263</v>
      </c>
      <c r="E72" t="s">
        <v>22</v>
      </c>
      <c r="F72" t="s">
        <v>23</v>
      </c>
      <c r="G72">
        <v>1</v>
      </c>
      <c r="H72">
        <v>0.5</v>
      </c>
      <c r="I72">
        <f t="shared" si="4"/>
        <v>0.66666666666666663</v>
      </c>
      <c r="J72">
        <v>1</v>
      </c>
      <c r="K72">
        <v>1</v>
      </c>
      <c r="L72">
        <v>756</v>
      </c>
      <c r="M72">
        <f t="shared" si="5"/>
        <v>1</v>
      </c>
    </row>
    <row r="73" spans="1:13">
      <c r="A73" t="s">
        <v>264</v>
      </c>
      <c r="B73" s="1" t="s">
        <v>46</v>
      </c>
      <c r="C73" t="s">
        <v>265</v>
      </c>
      <c r="D73" t="s">
        <v>497</v>
      </c>
      <c r="E73" t="s">
        <v>47</v>
      </c>
      <c r="F73" t="s">
        <v>469</v>
      </c>
      <c r="G73">
        <v>0.66700000000000004</v>
      </c>
      <c r="H73">
        <v>1</v>
      </c>
      <c r="I73">
        <f t="shared" si="4"/>
        <v>0.80023995200959808</v>
      </c>
      <c r="J73">
        <v>0.5</v>
      </c>
      <c r="K73">
        <v>1</v>
      </c>
      <c r="L73">
        <v>898</v>
      </c>
      <c r="M73">
        <f t="shared" si="5"/>
        <v>0.66700000000000004</v>
      </c>
    </row>
    <row r="74" spans="1:13">
      <c r="A74" t="s">
        <v>267</v>
      </c>
      <c r="B74" s="1" t="s">
        <v>19</v>
      </c>
      <c r="C74" t="s">
        <v>268</v>
      </c>
      <c r="D74" t="s">
        <v>91</v>
      </c>
      <c r="E74" t="s">
        <v>515</v>
      </c>
      <c r="F74" t="s">
        <v>35</v>
      </c>
      <c r="G74">
        <v>0</v>
      </c>
      <c r="H74">
        <v>0</v>
      </c>
      <c r="I74">
        <f t="shared" si="4"/>
        <v>0</v>
      </c>
      <c r="J74">
        <v>0.5</v>
      </c>
      <c r="K74">
        <v>0.33300000000000002</v>
      </c>
      <c r="L74">
        <v>707</v>
      </c>
      <c r="M74">
        <f t="shared" si="5"/>
        <v>0.4</v>
      </c>
    </row>
    <row r="75" spans="1:13">
      <c r="A75" t="s">
        <v>270</v>
      </c>
      <c r="B75" s="1" t="s">
        <v>271</v>
      </c>
      <c r="C75" t="s">
        <v>272</v>
      </c>
      <c r="D75" t="s">
        <v>516</v>
      </c>
      <c r="E75" t="s">
        <v>517</v>
      </c>
      <c r="F75" t="s">
        <v>374</v>
      </c>
      <c r="G75">
        <v>0.33300000000000002</v>
      </c>
      <c r="H75">
        <v>0.33300000000000002</v>
      </c>
      <c r="I75">
        <f t="shared" si="4"/>
        <v>0.33300000000000002</v>
      </c>
      <c r="J75">
        <v>0.66700000000000004</v>
      </c>
      <c r="K75">
        <v>0.4</v>
      </c>
      <c r="L75">
        <v>843</v>
      </c>
      <c r="M75">
        <f t="shared" si="5"/>
        <v>0.5</v>
      </c>
    </row>
    <row r="76" spans="1:13">
      <c r="A76" t="s">
        <v>275</v>
      </c>
      <c r="B76" s="1" t="s">
        <v>236</v>
      </c>
      <c r="C76" t="s">
        <v>276</v>
      </c>
      <c r="D76" t="s">
        <v>277</v>
      </c>
      <c r="E76" t="s">
        <v>118</v>
      </c>
      <c r="F76" t="s">
        <v>341</v>
      </c>
      <c r="G76">
        <v>1</v>
      </c>
      <c r="H76">
        <v>0.33300000000000002</v>
      </c>
      <c r="I76">
        <f t="shared" si="4"/>
        <v>0.4996249062265567</v>
      </c>
      <c r="J76">
        <v>0</v>
      </c>
      <c r="K76">
        <v>0</v>
      </c>
      <c r="L76">
        <v>693</v>
      </c>
      <c r="M76">
        <f t="shared" si="5"/>
        <v>0</v>
      </c>
    </row>
    <row r="77" spans="1:13">
      <c r="A77" t="s">
        <v>279</v>
      </c>
      <c r="B77" s="1" t="s">
        <v>54</v>
      </c>
      <c r="C77" t="s">
        <v>280</v>
      </c>
      <c r="D77" t="s">
        <v>54</v>
      </c>
      <c r="E77" t="s">
        <v>281</v>
      </c>
      <c r="F77" t="s">
        <v>341</v>
      </c>
      <c r="G77">
        <v>1</v>
      </c>
      <c r="H77">
        <v>1</v>
      </c>
      <c r="I77">
        <f t="shared" si="4"/>
        <v>1</v>
      </c>
      <c r="J77">
        <v>0.66700000000000004</v>
      </c>
      <c r="K77">
        <v>0.66700000000000004</v>
      </c>
      <c r="L77">
        <v>693</v>
      </c>
      <c r="M77">
        <f t="shared" si="5"/>
        <v>0.66700000000000004</v>
      </c>
    </row>
    <row r="78" spans="1:13">
      <c r="A78" t="s">
        <v>282</v>
      </c>
      <c r="B78" s="1" t="s">
        <v>283</v>
      </c>
      <c r="C78" t="s">
        <v>284</v>
      </c>
      <c r="D78" t="s">
        <v>113</v>
      </c>
      <c r="E78" t="s">
        <v>518</v>
      </c>
      <c r="F78" t="s">
        <v>472</v>
      </c>
      <c r="G78">
        <v>1</v>
      </c>
      <c r="H78">
        <v>0.33300000000000002</v>
      </c>
      <c r="I78">
        <f t="shared" si="4"/>
        <v>0.4996249062265567</v>
      </c>
      <c r="J78">
        <v>0.66700000000000004</v>
      </c>
      <c r="K78">
        <v>1</v>
      </c>
      <c r="L78">
        <v>713</v>
      </c>
      <c r="M78">
        <f t="shared" si="5"/>
        <v>0.8</v>
      </c>
    </row>
    <row r="79" spans="1:13">
      <c r="A79" t="s">
        <v>287</v>
      </c>
      <c r="B79" s="1" t="s">
        <v>7</v>
      </c>
      <c r="C79" t="s">
        <v>288</v>
      </c>
      <c r="D79" t="s">
        <v>9</v>
      </c>
      <c r="E79" t="s">
        <v>10</v>
      </c>
      <c r="F79" t="s">
        <v>374</v>
      </c>
      <c r="G79">
        <v>1</v>
      </c>
      <c r="H79">
        <v>0.5</v>
      </c>
      <c r="I79">
        <f t="shared" si="4"/>
        <v>0.66666666666666663</v>
      </c>
      <c r="J79">
        <v>0.66700000000000004</v>
      </c>
      <c r="K79">
        <v>0.5</v>
      </c>
      <c r="L79">
        <v>703</v>
      </c>
      <c r="M79">
        <f t="shared" si="5"/>
        <v>0.57199999999999995</v>
      </c>
    </row>
    <row r="80" spans="1:13">
      <c r="A80" t="s">
        <v>290</v>
      </c>
      <c r="B80" s="1" t="s">
        <v>291</v>
      </c>
      <c r="C80" t="s">
        <v>292</v>
      </c>
      <c r="D80" t="s">
        <v>9</v>
      </c>
      <c r="E80" t="s">
        <v>519</v>
      </c>
      <c r="F80" t="s">
        <v>520</v>
      </c>
      <c r="G80">
        <v>1</v>
      </c>
      <c r="H80">
        <v>0.5</v>
      </c>
      <c r="I80">
        <f t="shared" si="4"/>
        <v>0.66666666666666663</v>
      </c>
      <c r="J80">
        <v>0.5</v>
      </c>
      <c r="K80">
        <v>0.25</v>
      </c>
      <c r="L80">
        <v>711</v>
      </c>
      <c r="M80">
        <f t="shared" si="5"/>
        <v>0.33300000000000002</v>
      </c>
    </row>
    <row r="81" spans="1:13">
      <c r="A81" s="3" t="s">
        <v>294</v>
      </c>
      <c r="B81" s="1" t="s">
        <v>295</v>
      </c>
      <c r="C81" t="s">
        <v>284</v>
      </c>
      <c r="D81" t="s">
        <v>113</v>
      </c>
      <c r="E81" t="s">
        <v>521</v>
      </c>
      <c r="F81" t="s">
        <v>472</v>
      </c>
      <c r="G81">
        <v>1</v>
      </c>
      <c r="H81">
        <v>0.5</v>
      </c>
      <c r="I81">
        <f t="shared" si="4"/>
        <v>0.66666666666666663</v>
      </c>
      <c r="J81">
        <v>0.66700000000000004</v>
      </c>
      <c r="K81">
        <v>1</v>
      </c>
      <c r="L81">
        <v>721</v>
      </c>
      <c r="M81">
        <f t="shared" si="5"/>
        <v>0.8</v>
      </c>
    </row>
    <row r="82" spans="1:13">
      <c r="A82" t="s">
        <v>298</v>
      </c>
      <c r="B82" s="1" t="s">
        <v>299</v>
      </c>
      <c r="C82" t="s">
        <v>300</v>
      </c>
      <c r="D82" t="s">
        <v>153</v>
      </c>
      <c r="E82" t="s">
        <v>522</v>
      </c>
      <c r="F82" t="s">
        <v>341</v>
      </c>
      <c r="G82">
        <v>0.5</v>
      </c>
      <c r="H82">
        <v>0.5</v>
      </c>
      <c r="I82">
        <f t="shared" si="4"/>
        <v>0.5</v>
      </c>
      <c r="J82">
        <v>0.66700000000000004</v>
      </c>
      <c r="K82">
        <v>0.5</v>
      </c>
      <c r="L82">
        <v>777</v>
      </c>
      <c r="M82">
        <f t="shared" si="5"/>
        <v>0.57199999999999995</v>
      </c>
    </row>
    <row r="83" spans="1:13">
      <c r="A83" t="s">
        <v>302</v>
      </c>
      <c r="B83" s="1" t="s">
        <v>303</v>
      </c>
      <c r="C83" t="s">
        <v>304</v>
      </c>
      <c r="D83" t="s">
        <v>167</v>
      </c>
      <c r="E83" t="s">
        <v>523</v>
      </c>
      <c r="F83" t="s">
        <v>23</v>
      </c>
      <c r="G83">
        <v>0.5</v>
      </c>
      <c r="H83">
        <v>0.33300000000000002</v>
      </c>
      <c r="I83">
        <f t="shared" si="4"/>
        <v>0.39975990396158467</v>
      </c>
      <c r="J83">
        <v>0.5</v>
      </c>
      <c r="K83">
        <v>0.66700000000000004</v>
      </c>
      <c r="L83">
        <v>779</v>
      </c>
      <c r="M83">
        <f t="shared" si="5"/>
        <v>0.57199999999999995</v>
      </c>
    </row>
    <row r="84" spans="1:13">
      <c r="A84" t="s">
        <v>307</v>
      </c>
      <c r="B84" s="1" t="s">
        <v>183</v>
      </c>
      <c r="C84" t="s">
        <v>308</v>
      </c>
      <c r="D84" t="s">
        <v>524</v>
      </c>
      <c r="E84" t="s">
        <v>276</v>
      </c>
      <c r="F84" t="s">
        <v>222</v>
      </c>
      <c r="G84">
        <v>0</v>
      </c>
      <c r="H84">
        <v>0</v>
      </c>
      <c r="I84">
        <f t="shared" si="4"/>
        <v>0</v>
      </c>
      <c r="J84">
        <v>0</v>
      </c>
      <c r="K84">
        <v>0</v>
      </c>
      <c r="L84">
        <v>685</v>
      </c>
      <c r="M84">
        <f t="shared" si="5"/>
        <v>0</v>
      </c>
    </row>
    <row r="85" spans="1:13">
      <c r="A85" t="s">
        <v>310</v>
      </c>
      <c r="B85" s="1" t="s">
        <v>19</v>
      </c>
      <c r="C85" t="s">
        <v>311</v>
      </c>
      <c r="D85" t="s">
        <v>167</v>
      </c>
      <c r="E85" t="s">
        <v>311</v>
      </c>
      <c r="F85" t="s">
        <v>23</v>
      </c>
      <c r="G85">
        <v>0.5</v>
      </c>
      <c r="H85">
        <v>0.5</v>
      </c>
      <c r="I85">
        <f t="shared" si="4"/>
        <v>0.5</v>
      </c>
      <c r="J85">
        <v>1</v>
      </c>
      <c r="K85">
        <v>1</v>
      </c>
      <c r="L85">
        <v>794</v>
      </c>
      <c r="M85">
        <f t="shared" si="5"/>
        <v>1</v>
      </c>
    </row>
    <row r="86" spans="1:13">
      <c r="A86" t="s">
        <v>313</v>
      </c>
      <c r="B86" s="1" t="s">
        <v>46</v>
      </c>
      <c r="C86" t="s">
        <v>314</v>
      </c>
      <c r="D86" t="s">
        <v>497</v>
      </c>
      <c r="E86" t="s">
        <v>525</v>
      </c>
      <c r="F86" t="s">
        <v>341</v>
      </c>
      <c r="G86">
        <v>0.66700000000000004</v>
      </c>
      <c r="H86">
        <v>1</v>
      </c>
      <c r="I86">
        <f t="shared" si="4"/>
        <v>0.80023995200959808</v>
      </c>
      <c r="J86">
        <v>0.66700000000000004</v>
      </c>
      <c r="K86">
        <v>0.4</v>
      </c>
      <c r="L86">
        <v>922</v>
      </c>
      <c r="M86">
        <f t="shared" si="5"/>
        <v>0.5</v>
      </c>
    </row>
    <row r="87" spans="1:13">
      <c r="A87" t="s">
        <v>316</v>
      </c>
      <c r="B87" s="1" t="s">
        <v>19</v>
      </c>
      <c r="C87" t="s">
        <v>317</v>
      </c>
      <c r="D87" t="s">
        <v>61</v>
      </c>
      <c r="E87" t="s">
        <v>526</v>
      </c>
      <c r="F87" t="s">
        <v>222</v>
      </c>
      <c r="G87">
        <v>1</v>
      </c>
      <c r="H87">
        <v>0.5</v>
      </c>
      <c r="I87">
        <f t="shared" si="4"/>
        <v>0.66666666666666663</v>
      </c>
      <c r="J87">
        <v>1</v>
      </c>
      <c r="K87">
        <v>0.25</v>
      </c>
      <c r="L87">
        <v>766</v>
      </c>
      <c r="M87">
        <f t="shared" si="5"/>
        <v>0.4</v>
      </c>
    </row>
    <row r="88" spans="1:13">
      <c r="A88" t="s">
        <v>319</v>
      </c>
      <c r="B88" s="1" t="s">
        <v>320</v>
      </c>
      <c r="C88" t="s">
        <v>321</v>
      </c>
      <c r="D88" t="s">
        <v>48</v>
      </c>
      <c r="E88" t="s">
        <v>527</v>
      </c>
      <c r="F88" t="s">
        <v>472</v>
      </c>
      <c r="G88">
        <v>0.5</v>
      </c>
      <c r="H88">
        <v>0.33300000000000002</v>
      </c>
      <c r="I88">
        <f t="shared" si="4"/>
        <v>0.39975990396158467</v>
      </c>
      <c r="J88">
        <v>0.75</v>
      </c>
      <c r="K88">
        <v>1</v>
      </c>
      <c r="L88">
        <v>807</v>
      </c>
      <c r="M88">
        <f t="shared" si="5"/>
        <v>0.85699999999999998</v>
      </c>
    </row>
    <row r="89" spans="1:13">
      <c r="A89" t="s">
        <v>323</v>
      </c>
      <c r="B89" s="1" t="s">
        <v>37</v>
      </c>
      <c r="C89" t="s">
        <v>324</v>
      </c>
      <c r="D89" t="s">
        <v>37</v>
      </c>
      <c r="E89" t="s">
        <v>391</v>
      </c>
      <c r="F89" t="s">
        <v>44</v>
      </c>
      <c r="G89">
        <v>1</v>
      </c>
      <c r="H89">
        <v>1</v>
      </c>
      <c r="I89">
        <f t="shared" si="4"/>
        <v>1</v>
      </c>
      <c r="J89">
        <v>0.5</v>
      </c>
      <c r="K89">
        <v>1</v>
      </c>
      <c r="L89">
        <v>697</v>
      </c>
      <c r="M89">
        <f t="shared" si="5"/>
        <v>0.66700000000000004</v>
      </c>
    </row>
    <row r="90" spans="1:13">
      <c r="A90" t="s">
        <v>267</v>
      </c>
      <c r="B90" s="1" t="s">
        <v>19</v>
      </c>
      <c r="C90" t="s">
        <v>268</v>
      </c>
      <c r="D90" t="s">
        <v>113</v>
      </c>
      <c r="E90" t="s">
        <v>528</v>
      </c>
      <c r="G90">
        <v>0</v>
      </c>
      <c r="H90">
        <v>0</v>
      </c>
      <c r="I90">
        <f t="shared" si="4"/>
        <v>0</v>
      </c>
      <c r="J90">
        <v>0</v>
      </c>
      <c r="K90">
        <v>0</v>
      </c>
      <c r="L90">
        <v>726</v>
      </c>
      <c r="M90">
        <f t="shared" si="5"/>
        <v>0</v>
      </c>
    </row>
    <row r="91" spans="1:13">
      <c r="A91" t="s">
        <v>326</v>
      </c>
      <c r="B91" s="1" t="s">
        <v>183</v>
      </c>
      <c r="C91" t="s">
        <v>327</v>
      </c>
      <c r="D91" t="s">
        <v>277</v>
      </c>
      <c r="E91" t="s">
        <v>118</v>
      </c>
      <c r="F91" t="s">
        <v>341</v>
      </c>
      <c r="G91">
        <v>1</v>
      </c>
      <c r="H91">
        <v>0.5</v>
      </c>
      <c r="I91">
        <f t="shared" si="4"/>
        <v>0.66666666666666663</v>
      </c>
      <c r="J91">
        <v>0</v>
      </c>
      <c r="K91">
        <v>0</v>
      </c>
      <c r="L91">
        <v>679</v>
      </c>
      <c r="M91">
        <f t="shared" si="5"/>
        <v>0</v>
      </c>
    </row>
    <row r="92" spans="1:13">
      <c r="A92" t="s">
        <v>329</v>
      </c>
      <c r="B92" s="1" t="s">
        <v>13</v>
      </c>
      <c r="C92" t="s">
        <v>330</v>
      </c>
      <c r="D92" t="s">
        <v>3</v>
      </c>
      <c r="E92" t="s">
        <v>97</v>
      </c>
      <c r="F92" t="s">
        <v>35</v>
      </c>
      <c r="G92">
        <v>0</v>
      </c>
      <c r="H92">
        <v>0</v>
      </c>
      <c r="I92">
        <f t="shared" si="4"/>
        <v>0</v>
      </c>
      <c r="J92">
        <v>0</v>
      </c>
      <c r="K92">
        <v>0</v>
      </c>
      <c r="L92">
        <v>665</v>
      </c>
      <c r="M92">
        <f t="shared" si="5"/>
        <v>0</v>
      </c>
    </row>
    <row r="93" spans="1:13">
      <c r="A93" t="s">
        <v>332</v>
      </c>
      <c r="B93" s="1" t="s">
        <v>37</v>
      </c>
      <c r="C93" t="s">
        <v>324</v>
      </c>
      <c r="D93" t="s">
        <v>37</v>
      </c>
      <c r="E93" t="s">
        <v>529</v>
      </c>
      <c r="F93" t="s">
        <v>44</v>
      </c>
      <c r="G93">
        <v>1</v>
      </c>
      <c r="H93">
        <v>1</v>
      </c>
      <c r="I93">
        <f t="shared" si="4"/>
        <v>1</v>
      </c>
      <c r="J93">
        <v>0.4</v>
      </c>
      <c r="K93">
        <v>1</v>
      </c>
      <c r="L93">
        <v>702</v>
      </c>
      <c r="M93">
        <f t="shared" si="5"/>
        <v>0.57099999999999995</v>
      </c>
    </row>
    <row r="94" spans="1:13">
      <c r="A94" t="s">
        <v>334</v>
      </c>
      <c r="B94" s="1" t="s">
        <v>61</v>
      </c>
      <c r="C94" t="s">
        <v>221</v>
      </c>
      <c r="D94" t="s">
        <v>1</v>
      </c>
      <c r="E94" t="s">
        <v>221</v>
      </c>
      <c r="F94" t="s">
        <v>222</v>
      </c>
      <c r="G94">
        <v>0.5</v>
      </c>
      <c r="H94">
        <v>1</v>
      </c>
      <c r="I94">
        <f t="shared" si="4"/>
        <v>0.66666666666666663</v>
      </c>
      <c r="J94">
        <v>1</v>
      </c>
      <c r="K94">
        <v>1</v>
      </c>
      <c r="L94">
        <v>758</v>
      </c>
      <c r="M94">
        <f t="shared" si="5"/>
        <v>1</v>
      </c>
    </row>
  </sheetData>
  <autoFilter ref="M1:M94" xr:uid="{00000000-0009-0000-0000-000003000000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4"/>
  <sheetViews>
    <sheetView topLeftCell="B1" zoomScale="70" zoomScaleNormal="70" workbookViewId="0">
      <selection activeCell="N16" sqref="N16"/>
    </sheetView>
  </sheetViews>
  <sheetFormatPr defaultRowHeight="18"/>
  <cols>
    <col min="1" max="1" width="86.08203125" customWidth="1"/>
    <col min="2" max="2" width="12.6640625" customWidth="1"/>
    <col min="3" max="3" width="11.4140625" customWidth="1"/>
    <col min="4" max="4" width="13.5" customWidth="1"/>
    <col min="5" max="5" width="38.1640625" customWidth="1"/>
    <col min="7" max="7" width="11.08203125" customWidth="1"/>
    <col min="8" max="8" width="10.9140625" customWidth="1"/>
    <col min="13" max="13" width="16.5" customWidth="1"/>
    <col min="14" max="14" width="19.1640625" customWidth="1"/>
    <col min="15" max="15" width="17.4140625" customWidth="1"/>
    <col min="16" max="16" width="11.08203125" customWidth="1"/>
  </cols>
  <sheetData>
    <row r="1" spans="1:16" s="5" customFormat="1">
      <c r="A1" s="5" t="s">
        <v>634</v>
      </c>
      <c r="B1" s="5" t="s">
        <v>647</v>
      </c>
      <c r="C1" s="5" t="s">
        <v>635</v>
      </c>
      <c r="D1" s="5" t="s">
        <v>648</v>
      </c>
      <c r="E1" s="5" t="s">
        <v>636</v>
      </c>
      <c r="F1" s="5" t="s">
        <v>637</v>
      </c>
      <c r="G1" s="5" t="s">
        <v>649</v>
      </c>
      <c r="H1" s="5" t="s">
        <v>650</v>
      </c>
      <c r="I1" s="5" t="s">
        <v>651</v>
      </c>
      <c r="J1" s="5" t="s">
        <v>638</v>
      </c>
      <c r="K1" s="5" t="s">
        <v>639</v>
      </c>
      <c r="L1" s="5" t="s">
        <v>640</v>
      </c>
      <c r="M1" s="5" t="s">
        <v>641</v>
      </c>
      <c r="N1" s="5" t="s">
        <v>642</v>
      </c>
      <c r="O1" s="5" t="s">
        <v>643</v>
      </c>
      <c r="P1" s="6" t="s">
        <v>644</v>
      </c>
    </row>
    <row r="2" spans="1:16" ht="21" customHeight="1">
      <c r="A2" t="s">
        <v>0</v>
      </c>
      <c r="B2" s="1" t="s">
        <v>1</v>
      </c>
      <c r="C2" t="s">
        <v>2</v>
      </c>
      <c r="D2" t="s">
        <v>3</v>
      </c>
      <c r="E2" t="s">
        <v>393</v>
      </c>
      <c r="F2" t="s">
        <v>222</v>
      </c>
      <c r="G2">
        <v>1</v>
      </c>
      <c r="H2">
        <v>0.5</v>
      </c>
      <c r="I2">
        <f t="shared" ref="I2:I33" si="0">IF(G2+H2=0,0,2*G2*H2/(G2+H2))</f>
        <v>0.66666666666666663</v>
      </c>
      <c r="J2">
        <v>1</v>
      </c>
      <c r="K2">
        <v>0.33300000000000002</v>
      </c>
      <c r="L2">
        <v>529</v>
      </c>
      <c r="M2">
        <f t="shared" ref="M2:M33" si="1">IF(J2+K2=0,0,ROUND(2*J2*K2/(J2+K2),3))</f>
        <v>0.5</v>
      </c>
      <c r="N2" s="2">
        <f>ROUND(AVERAGE(J2:J94),3)</f>
        <v>0.57699999999999996</v>
      </c>
      <c r="O2" s="2">
        <f>ROUND(AVERAGE(K2:K94),3)</f>
        <v>0.51900000000000002</v>
      </c>
      <c r="P2" s="2">
        <f>SUM(M2:M94)/93</f>
        <v>0.50520430107526881</v>
      </c>
    </row>
    <row r="3" spans="1:16" ht="19" customHeight="1">
      <c r="A3" t="s">
        <v>6</v>
      </c>
      <c r="B3" s="1" t="s">
        <v>7</v>
      </c>
      <c r="C3" t="s">
        <v>8</v>
      </c>
      <c r="D3" t="s">
        <v>67</v>
      </c>
      <c r="E3" t="s">
        <v>530</v>
      </c>
      <c r="F3" t="s">
        <v>531</v>
      </c>
      <c r="G3">
        <v>1</v>
      </c>
      <c r="H3">
        <v>1</v>
      </c>
      <c r="I3">
        <f t="shared" si="0"/>
        <v>1</v>
      </c>
      <c r="J3">
        <v>0.6</v>
      </c>
      <c r="K3">
        <v>0.6</v>
      </c>
      <c r="L3">
        <v>613</v>
      </c>
      <c r="M3">
        <f t="shared" si="1"/>
        <v>0.6</v>
      </c>
      <c r="P3" s="2"/>
    </row>
    <row r="4" spans="1:16" ht="19.5" customHeight="1">
      <c r="A4" t="s">
        <v>12</v>
      </c>
      <c r="B4" s="1" t="s">
        <v>13</v>
      </c>
      <c r="C4" t="s">
        <v>14</v>
      </c>
      <c r="D4" t="s">
        <v>3</v>
      </c>
      <c r="E4" t="s">
        <v>97</v>
      </c>
      <c r="F4" t="s">
        <v>35</v>
      </c>
      <c r="G4">
        <v>0</v>
      </c>
      <c r="H4">
        <v>0</v>
      </c>
      <c r="I4">
        <f t="shared" si="0"/>
        <v>0</v>
      </c>
      <c r="J4">
        <v>1</v>
      </c>
      <c r="K4">
        <v>0.33300000000000002</v>
      </c>
      <c r="L4">
        <v>515</v>
      </c>
      <c r="M4">
        <f t="shared" si="1"/>
        <v>0.5</v>
      </c>
      <c r="N4" t="s">
        <v>652</v>
      </c>
      <c r="O4" t="s">
        <v>653</v>
      </c>
      <c r="P4" s="2" t="s">
        <v>654</v>
      </c>
    </row>
    <row r="5" spans="1:16">
      <c r="A5" t="s">
        <v>18</v>
      </c>
      <c r="B5" s="1" t="s">
        <v>19</v>
      </c>
      <c r="C5" t="s">
        <v>20</v>
      </c>
      <c r="D5" t="s">
        <v>263</v>
      </c>
      <c r="E5" t="s">
        <v>22</v>
      </c>
      <c r="F5" t="s">
        <v>23</v>
      </c>
      <c r="G5">
        <v>1</v>
      </c>
      <c r="H5">
        <v>0.5</v>
      </c>
      <c r="I5">
        <f t="shared" si="0"/>
        <v>0.66666666666666663</v>
      </c>
      <c r="J5">
        <v>1</v>
      </c>
      <c r="K5">
        <v>0.5</v>
      </c>
      <c r="L5">
        <v>604</v>
      </c>
      <c r="M5">
        <f t="shared" si="1"/>
        <v>0.66700000000000004</v>
      </c>
      <c r="N5" s="2">
        <f>ROUND(AVERAGE(G2:G94),3)</f>
        <v>0.70099999999999996</v>
      </c>
      <c r="O5" s="2">
        <f>ROUND(AVERAGE(H2:H94),3)</f>
        <v>0.56799999999999995</v>
      </c>
      <c r="P5" s="2">
        <f>ROUND(AVERAGE(I2:I94),3)</f>
        <v>0.59099999999999997</v>
      </c>
    </row>
    <row r="6" spans="1:16">
      <c r="A6" t="s">
        <v>24</v>
      </c>
      <c r="B6" s="1" t="s">
        <v>25</v>
      </c>
      <c r="C6" t="s">
        <v>26</v>
      </c>
      <c r="D6" t="s">
        <v>54</v>
      </c>
      <c r="E6" t="s">
        <v>340</v>
      </c>
      <c r="F6" t="s">
        <v>29</v>
      </c>
      <c r="G6">
        <v>1</v>
      </c>
      <c r="H6">
        <v>0.5</v>
      </c>
      <c r="I6">
        <f t="shared" si="0"/>
        <v>0.66666666666666663</v>
      </c>
      <c r="J6">
        <v>0.8</v>
      </c>
      <c r="K6">
        <v>1</v>
      </c>
      <c r="L6">
        <v>533</v>
      </c>
      <c r="M6">
        <f t="shared" si="1"/>
        <v>0.88900000000000001</v>
      </c>
      <c r="O6" t="s">
        <v>645</v>
      </c>
    </row>
    <row r="7" spans="1:16">
      <c r="A7" t="s">
        <v>30</v>
      </c>
      <c r="B7" s="1" t="s">
        <v>31</v>
      </c>
      <c r="C7" t="s">
        <v>32</v>
      </c>
      <c r="D7" t="s">
        <v>1</v>
      </c>
      <c r="E7" t="s">
        <v>532</v>
      </c>
      <c r="F7" t="s">
        <v>17</v>
      </c>
      <c r="G7">
        <v>0</v>
      </c>
      <c r="H7">
        <v>0</v>
      </c>
      <c r="I7">
        <f t="shared" si="0"/>
        <v>0</v>
      </c>
      <c r="J7">
        <v>0.5</v>
      </c>
      <c r="K7">
        <v>0.2</v>
      </c>
      <c r="L7">
        <v>607</v>
      </c>
      <c r="M7">
        <f t="shared" si="1"/>
        <v>0.28599999999999998</v>
      </c>
      <c r="O7" s="4">
        <f>AVERAGE(L2:L94)</f>
        <v>596.27956989247309</v>
      </c>
    </row>
    <row r="8" spans="1:16">
      <c r="A8" t="s">
        <v>36</v>
      </c>
      <c r="B8" s="1" t="s">
        <v>37</v>
      </c>
      <c r="C8" t="s">
        <v>38</v>
      </c>
      <c r="D8" t="s">
        <v>37</v>
      </c>
      <c r="E8" t="s">
        <v>533</v>
      </c>
      <c r="F8" t="s">
        <v>29</v>
      </c>
      <c r="G8">
        <v>1</v>
      </c>
      <c r="H8">
        <v>1</v>
      </c>
      <c r="I8">
        <f t="shared" si="0"/>
        <v>1</v>
      </c>
      <c r="J8">
        <v>0.2</v>
      </c>
      <c r="K8">
        <v>0.5</v>
      </c>
      <c r="L8">
        <v>556</v>
      </c>
      <c r="M8">
        <f t="shared" si="1"/>
        <v>0.28599999999999998</v>
      </c>
      <c r="O8" t="s">
        <v>646</v>
      </c>
    </row>
    <row r="9" spans="1:16">
      <c r="A9" t="s">
        <v>40</v>
      </c>
      <c r="B9" s="1" t="s">
        <v>41</v>
      </c>
      <c r="C9" t="s">
        <v>34</v>
      </c>
      <c r="D9" t="s">
        <v>534</v>
      </c>
      <c r="E9" t="s">
        <v>43</v>
      </c>
      <c r="F9" t="s">
        <v>83</v>
      </c>
      <c r="G9">
        <v>0.5</v>
      </c>
      <c r="H9">
        <v>0.33300000000000002</v>
      </c>
      <c r="I9">
        <f t="shared" si="0"/>
        <v>0.39975990396158467</v>
      </c>
      <c r="J9">
        <v>0.5</v>
      </c>
      <c r="K9">
        <v>1</v>
      </c>
      <c r="L9">
        <v>582</v>
      </c>
      <c r="M9">
        <f t="shared" si="1"/>
        <v>0.66700000000000004</v>
      </c>
      <c r="O9" s="2">
        <f>_xlfn.STDEV.P(L2:L94)</f>
        <v>65.308262513277597</v>
      </c>
    </row>
    <row r="10" spans="1:16">
      <c r="A10" t="s">
        <v>45</v>
      </c>
      <c r="B10" s="1" t="s">
        <v>46</v>
      </c>
      <c r="C10" t="s">
        <v>47</v>
      </c>
      <c r="D10" t="s">
        <v>46</v>
      </c>
      <c r="E10" t="s">
        <v>47</v>
      </c>
      <c r="F10" t="s">
        <v>469</v>
      </c>
      <c r="G10">
        <v>1</v>
      </c>
      <c r="H10">
        <v>1</v>
      </c>
      <c r="I10">
        <f t="shared" si="0"/>
        <v>1</v>
      </c>
      <c r="J10">
        <v>1</v>
      </c>
      <c r="K10">
        <v>1</v>
      </c>
      <c r="L10">
        <v>684</v>
      </c>
      <c r="M10">
        <f t="shared" si="1"/>
        <v>1</v>
      </c>
    </row>
    <row r="11" spans="1:16">
      <c r="A11" t="s">
        <v>51</v>
      </c>
      <c r="B11" s="1" t="s">
        <v>52</v>
      </c>
      <c r="C11" t="s">
        <v>53</v>
      </c>
      <c r="D11" t="s">
        <v>54</v>
      </c>
      <c r="E11" t="s">
        <v>470</v>
      </c>
      <c r="F11" t="s">
        <v>222</v>
      </c>
      <c r="G11">
        <v>1</v>
      </c>
      <c r="H11">
        <v>0.5</v>
      </c>
      <c r="I11">
        <f t="shared" si="0"/>
        <v>0.66666666666666663</v>
      </c>
      <c r="J11">
        <v>1</v>
      </c>
      <c r="K11">
        <v>0.33300000000000002</v>
      </c>
      <c r="L11">
        <v>530</v>
      </c>
      <c r="M11">
        <f t="shared" si="1"/>
        <v>0.5</v>
      </c>
    </row>
    <row r="12" spans="1:16">
      <c r="A12" t="s">
        <v>56</v>
      </c>
      <c r="B12" s="1" t="s">
        <v>46</v>
      </c>
      <c r="C12" t="s">
        <v>47</v>
      </c>
      <c r="D12" t="s">
        <v>61</v>
      </c>
      <c r="E12" t="s">
        <v>535</v>
      </c>
      <c r="F12" t="s">
        <v>531</v>
      </c>
      <c r="G12">
        <v>1</v>
      </c>
      <c r="H12">
        <v>0.5</v>
      </c>
      <c r="I12">
        <f t="shared" si="0"/>
        <v>0.66666666666666663</v>
      </c>
      <c r="J12">
        <v>0.4</v>
      </c>
      <c r="K12">
        <v>1</v>
      </c>
      <c r="L12">
        <v>597</v>
      </c>
      <c r="M12">
        <f t="shared" si="1"/>
        <v>0.57099999999999995</v>
      </c>
    </row>
    <row r="13" spans="1:16">
      <c r="A13" t="s">
        <v>59</v>
      </c>
      <c r="B13" s="1" t="s">
        <v>19</v>
      </c>
      <c r="C13" t="s">
        <v>60</v>
      </c>
      <c r="D13" t="s">
        <v>1</v>
      </c>
      <c r="E13" t="s">
        <v>80</v>
      </c>
      <c r="F13" t="s">
        <v>531</v>
      </c>
      <c r="G13">
        <v>0.5</v>
      </c>
      <c r="H13">
        <v>0.5</v>
      </c>
      <c r="I13">
        <f t="shared" si="0"/>
        <v>0.5</v>
      </c>
      <c r="J13">
        <v>0.5</v>
      </c>
      <c r="K13">
        <v>0.5</v>
      </c>
      <c r="L13">
        <v>605</v>
      </c>
      <c r="M13">
        <f t="shared" si="1"/>
        <v>0.5</v>
      </c>
    </row>
    <row r="14" spans="1:16">
      <c r="A14" t="s">
        <v>63</v>
      </c>
      <c r="B14" s="1" t="s">
        <v>61</v>
      </c>
      <c r="C14" t="s">
        <v>64</v>
      </c>
      <c r="D14" t="s">
        <v>48</v>
      </c>
      <c r="E14" t="s">
        <v>536</v>
      </c>
      <c r="F14" t="s">
        <v>531</v>
      </c>
      <c r="G14">
        <v>0.5</v>
      </c>
      <c r="H14">
        <v>1</v>
      </c>
      <c r="I14">
        <f t="shared" si="0"/>
        <v>0.66666666666666663</v>
      </c>
      <c r="J14">
        <v>0.16700000000000001</v>
      </c>
      <c r="K14">
        <v>0.4</v>
      </c>
      <c r="L14">
        <v>673</v>
      </c>
      <c r="M14">
        <f t="shared" si="1"/>
        <v>0.23599999999999999</v>
      </c>
    </row>
    <row r="15" spans="1:16">
      <c r="A15" t="s">
        <v>66</v>
      </c>
      <c r="B15" s="1" t="s">
        <v>67</v>
      </c>
      <c r="C15" t="s">
        <v>8</v>
      </c>
      <c r="D15" t="s">
        <v>67</v>
      </c>
      <c r="E15" t="s">
        <v>163</v>
      </c>
      <c r="F15" t="s">
        <v>11</v>
      </c>
      <c r="G15">
        <v>1</v>
      </c>
      <c r="H15">
        <v>1</v>
      </c>
      <c r="I15">
        <f t="shared" si="0"/>
        <v>1</v>
      </c>
      <c r="J15">
        <v>0.66700000000000004</v>
      </c>
      <c r="K15">
        <v>0.4</v>
      </c>
      <c r="L15">
        <v>609</v>
      </c>
      <c r="M15">
        <f t="shared" si="1"/>
        <v>0.5</v>
      </c>
    </row>
    <row r="16" spans="1:16">
      <c r="A16" t="s">
        <v>70</v>
      </c>
      <c r="B16" s="1" t="s">
        <v>71</v>
      </c>
      <c r="C16" t="s">
        <v>72</v>
      </c>
      <c r="D16" t="s">
        <v>225</v>
      </c>
      <c r="E16" t="s">
        <v>537</v>
      </c>
      <c r="F16" t="s">
        <v>531</v>
      </c>
      <c r="G16">
        <v>0.5</v>
      </c>
      <c r="H16">
        <v>1</v>
      </c>
      <c r="I16">
        <f t="shared" si="0"/>
        <v>0.66666666666666663</v>
      </c>
      <c r="J16">
        <v>0.25</v>
      </c>
      <c r="K16">
        <v>0.16700000000000001</v>
      </c>
      <c r="L16">
        <v>717</v>
      </c>
      <c r="M16">
        <f t="shared" si="1"/>
        <v>0.2</v>
      </c>
    </row>
    <row r="17" spans="1:13">
      <c r="A17" t="s">
        <v>75</v>
      </c>
      <c r="B17" s="1" t="s">
        <v>19</v>
      </c>
      <c r="C17" t="s">
        <v>76</v>
      </c>
      <c r="D17" t="s">
        <v>263</v>
      </c>
      <c r="E17" t="s">
        <v>22</v>
      </c>
      <c r="F17" t="s">
        <v>23</v>
      </c>
      <c r="G17">
        <v>1</v>
      </c>
      <c r="H17">
        <v>0.5</v>
      </c>
      <c r="I17">
        <f t="shared" si="0"/>
        <v>0.66666666666666663</v>
      </c>
      <c r="J17">
        <v>0</v>
      </c>
      <c r="K17">
        <v>0</v>
      </c>
      <c r="L17">
        <v>594</v>
      </c>
      <c r="M17">
        <f t="shared" si="1"/>
        <v>0</v>
      </c>
    </row>
    <row r="18" spans="1:13">
      <c r="A18" t="s">
        <v>79</v>
      </c>
      <c r="B18" s="1" t="s">
        <v>19</v>
      </c>
      <c r="C18" t="s">
        <v>80</v>
      </c>
      <c r="D18" t="s">
        <v>81</v>
      </c>
      <c r="E18" t="s">
        <v>538</v>
      </c>
      <c r="F18" t="s">
        <v>539</v>
      </c>
      <c r="G18">
        <v>0.5</v>
      </c>
      <c r="H18">
        <v>0.5</v>
      </c>
      <c r="I18">
        <f t="shared" si="0"/>
        <v>0.5</v>
      </c>
      <c r="J18">
        <v>0</v>
      </c>
      <c r="K18">
        <v>0</v>
      </c>
      <c r="L18">
        <v>645</v>
      </c>
      <c r="M18">
        <f t="shared" si="1"/>
        <v>0</v>
      </c>
    </row>
    <row r="19" spans="1:13">
      <c r="A19" t="s">
        <v>84</v>
      </c>
      <c r="B19" s="1" t="s">
        <v>85</v>
      </c>
      <c r="C19" t="s">
        <v>86</v>
      </c>
      <c r="D19" t="s">
        <v>540</v>
      </c>
      <c r="E19" t="s">
        <v>541</v>
      </c>
      <c r="F19" t="s">
        <v>531</v>
      </c>
      <c r="G19">
        <v>0.5</v>
      </c>
      <c r="H19">
        <v>0.33300000000000002</v>
      </c>
      <c r="I19">
        <f t="shared" si="0"/>
        <v>0.39975990396158467</v>
      </c>
      <c r="J19">
        <v>0.75</v>
      </c>
      <c r="K19">
        <v>0.75</v>
      </c>
      <c r="L19">
        <v>625</v>
      </c>
      <c r="M19">
        <f t="shared" si="1"/>
        <v>0.75</v>
      </c>
    </row>
    <row r="20" spans="1:13">
      <c r="A20" t="s">
        <v>88</v>
      </c>
      <c r="B20" s="1" t="s">
        <v>655</v>
      </c>
      <c r="C20" t="s">
        <v>38</v>
      </c>
      <c r="D20" t="s">
        <v>37</v>
      </c>
      <c r="E20" t="s">
        <v>542</v>
      </c>
      <c r="F20" t="s">
        <v>17</v>
      </c>
      <c r="G20">
        <v>1</v>
      </c>
      <c r="H20">
        <v>0.5</v>
      </c>
      <c r="I20">
        <f t="shared" si="0"/>
        <v>0.66666666666666663</v>
      </c>
      <c r="J20">
        <v>0.33300000000000002</v>
      </c>
      <c r="K20">
        <v>0.5</v>
      </c>
      <c r="L20">
        <v>539</v>
      </c>
      <c r="M20">
        <f t="shared" si="1"/>
        <v>0.4</v>
      </c>
    </row>
    <row r="21" spans="1:13">
      <c r="A21" t="s">
        <v>90</v>
      </c>
      <c r="B21" s="1" t="s">
        <v>91</v>
      </c>
      <c r="C21" t="s">
        <v>92</v>
      </c>
      <c r="D21" t="s">
        <v>91</v>
      </c>
      <c r="E21" t="s">
        <v>482</v>
      </c>
      <c r="F21" t="s">
        <v>83</v>
      </c>
      <c r="G21">
        <v>1</v>
      </c>
      <c r="H21">
        <v>1</v>
      </c>
      <c r="I21">
        <f t="shared" si="0"/>
        <v>1</v>
      </c>
      <c r="J21">
        <v>1</v>
      </c>
      <c r="K21">
        <v>1</v>
      </c>
      <c r="L21">
        <v>543</v>
      </c>
      <c r="M21">
        <f t="shared" si="1"/>
        <v>1</v>
      </c>
    </row>
    <row r="22" spans="1:13">
      <c r="A22" t="s">
        <v>94</v>
      </c>
      <c r="B22" s="1" t="s">
        <v>95</v>
      </c>
      <c r="C22" t="s">
        <v>96</v>
      </c>
      <c r="D22" t="s">
        <v>3</v>
      </c>
      <c r="E22" t="s">
        <v>97</v>
      </c>
      <c r="F22" t="s">
        <v>35</v>
      </c>
      <c r="G22">
        <v>1</v>
      </c>
      <c r="H22">
        <v>0.33300000000000002</v>
      </c>
      <c r="I22">
        <f t="shared" si="0"/>
        <v>0.4996249062265567</v>
      </c>
      <c r="J22">
        <v>1</v>
      </c>
      <c r="K22">
        <v>0.25</v>
      </c>
      <c r="L22">
        <v>529</v>
      </c>
      <c r="M22">
        <f t="shared" si="1"/>
        <v>0.4</v>
      </c>
    </row>
    <row r="23" spans="1:13">
      <c r="A23" t="s">
        <v>98</v>
      </c>
      <c r="B23" s="1" t="s">
        <v>61</v>
      </c>
      <c r="C23" t="s">
        <v>99</v>
      </c>
      <c r="D23" t="s">
        <v>46</v>
      </c>
      <c r="E23" t="s">
        <v>543</v>
      </c>
      <c r="F23" t="s">
        <v>35</v>
      </c>
      <c r="G23">
        <v>0.5</v>
      </c>
      <c r="H23">
        <v>1</v>
      </c>
      <c r="I23">
        <f t="shared" si="0"/>
        <v>0.66666666666666663</v>
      </c>
      <c r="J23">
        <v>0.5</v>
      </c>
      <c r="K23">
        <v>0.5</v>
      </c>
      <c r="L23">
        <v>707</v>
      </c>
      <c r="M23">
        <f t="shared" si="1"/>
        <v>0.5</v>
      </c>
    </row>
    <row r="24" spans="1:13">
      <c r="A24" t="s">
        <v>102</v>
      </c>
      <c r="B24" s="1" t="s">
        <v>19</v>
      </c>
      <c r="C24" t="s">
        <v>103</v>
      </c>
      <c r="D24" t="s">
        <v>19</v>
      </c>
      <c r="E24" t="s">
        <v>544</v>
      </c>
      <c r="F24" t="s">
        <v>531</v>
      </c>
      <c r="G24">
        <v>1</v>
      </c>
      <c r="H24">
        <v>1</v>
      </c>
      <c r="I24">
        <f t="shared" si="0"/>
        <v>1</v>
      </c>
      <c r="J24">
        <v>0.28599999999999998</v>
      </c>
      <c r="K24">
        <v>0.5</v>
      </c>
      <c r="L24">
        <v>699</v>
      </c>
      <c r="M24">
        <f t="shared" si="1"/>
        <v>0.36399999999999999</v>
      </c>
    </row>
    <row r="25" spans="1:13">
      <c r="A25" t="s">
        <v>105</v>
      </c>
      <c r="B25" s="1" t="s">
        <v>106</v>
      </c>
      <c r="C25" t="s">
        <v>107</v>
      </c>
      <c r="D25" t="s">
        <v>263</v>
      </c>
      <c r="E25" t="s">
        <v>22</v>
      </c>
      <c r="F25" t="s">
        <v>23</v>
      </c>
      <c r="G25">
        <v>1</v>
      </c>
      <c r="H25">
        <v>0.33300000000000002</v>
      </c>
      <c r="I25">
        <f t="shared" si="0"/>
        <v>0.4996249062265567</v>
      </c>
      <c r="J25">
        <v>1</v>
      </c>
      <c r="K25">
        <v>0.16700000000000001</v>
      </c>
      <c r="L25">
        <v>598</v>
      </c>
      <c r="M25">
        <f t="shared" si="1"/>
        <v>0.28599999999999998</v>
      </c>
    </row>
    <row r="26" spans="1:13">
      <c r="A26" t="s">
        <v>110</v>
      </c>
      <c r="B26" s="1" t="s">
        <v>19</v>
      </c>
      <c r="C26" t="s">
        <v>47</v>
      </c>
      <c r="D26" t="s">
        <v>19</v>
      </c>
      <c r="E26" t="s">
        <v>347</v>
      </c>
      <c r="F26" t="s">
        <v>469</v>
      </c>
      <c r="G26">
        <v>1</v>
      </c>
      <c r="H26">
        <v>1</v>
      </c>
      <c r="I26">
        <f t="shared" si="0"/>
        <v>1</v>
      </c>
      <c r="J26">
        <v>0.66700000000000004</v>
      </c>
      <c r="K26">
        <v>1</v>
      </c>
      <c r="L26">
        <v>694</v>
      </c>
      <c r="M26">
        <f t="shared" si="1"/>
        <v>0.8</v>
      </c>
    </row>
    <row r="27" spans="1:13">
      <c r="A27" t="s">
        <v>112</v>
      </c>
      <c r="B27" s="1" t="s">
        <v>113</v>
      </c>
      <c r="C27" t="s">
        <v>114</v>
      </c>
      <c r="D27" t="s">
        <v>54</v>
      </c>
      <c r="E27" t="s">
        <v>55</v>
      </c>
      <c r="F27" t="s">
        <v>29</v>
      </c>
      <c r="G27">
        <v>0</v>
      </c>
      <c r="H27">
        <v>0</v>
      </c>
      <c r="I27">
        <f t="shared" si="0"/>
        <v>0</v>
      </c>
      <c r="J27">
        <v>0</v>
      </c>
      <c r="K27">
        <v>0</v>
      </c>
      <c r="L27">
        <v>524</v>
      </c>
      <c r="M27">
        <f t="shared" si="1"/>
        <v>0</v>
      </c>
    </row>
    <row r="28" spans="1:13">
      <c r="A28" t="s">
        <v>117</v>
      </c>
      <c r="B28" s="1" t="s">
        <v>61</v>
      </c>
      <c r="C28" t="s">
        <v>118</v>
      </c>
      <c r="D28" t="s">
        <v>48</v>
      </c>
      <c r="E28" t="s">
        <v>545</v>
      </c>
      <c r="F28" t="s">
        <v>531</v>
      </c>
      <c r="G28">
        <v>0.5</v>
      </c>
      <c r="H28">
        <v>1</v>
      </c>
      <c r="I28">
        <f t="shared" si="0"/>
        <v>0.66666666666666663</v>
      </c>
      <c r="J28">
        <v>0</v>
      </c>
      <c r="K28">
        <v>0</v>
      </c>
      <c r="L28">
        <v>662</v>
      </c>
      <c r="M28">
        <f t="shared" si="1"/>
        <v>0</v>
      </c>
    </row>
    <row r="29" spans="1:13">
      <c r="A29" t="s">
        <v>120</v>
      </c>
      <c r="B29" s="1" t="s">
        <v>61</v>
      </c>
      <c r="C29" t="s">
        <v>121</v>
      </c>
      <c r="D29" t="s">
        <v>263</v>
      </c>
      <c r="E29" t="s">
        <v>546</v>
      </c>
      <c r="F29" t="s">
        <v>531</v>
      </c>
      <c r="G29">
        <v>0</v>
      </c>
      <c r="H29">
        <v>0</v>
      </c>
      <c r="I29">
        <f t="shared" si="0"/>
        <v>0</v>
      </c>
      <c r="J29">
        <v>0</v>
      </c>
      <c r="K29">
        <v>0</v>
      </c>
      <c r="L29">
        <v>657</v>
      </c>
      <c r="M29">
        <f t="shared" si="1"/>
        <v>0</v>
      </c>
    </row>
    <row r="30" spans="1:13">
      <c r="A30" t="s">
        <v>123</v>
      </c>
      <c r="B30" s="1" t="s">
        <v>124</v>
      </c>
      <c r="C30" t="s">
        <v>49</v>
      </c>
      <c r="D30" t="s">
        <v>19</v>
      </c>
      <c r="E30" t="s">
        <v>547</v>
      </c>
      <c r="F30" t="s">
        <v>531</v>
      </c>
      <c r="G30">
        <v>1</v>
      </c>
      <c r="H30">
        <v>0.66700000000000004</v>
      </c>
      <c r="I30">
        <f t="shared" si="0"/>
        <v>0.80023995200959808</v>
      </c>
      <c r="J30">
        <v>0.5</v>
      </c>
      <c r="K30">
        <v>1</v>
      </c>
      <c r="L30">
        <v>694</v>
      </c>
      <c r="M30">
        <f t="shared" si="1"/>
        <v>0.66700000000000004</v>
      </c>
    </row>
    <row r="31" spans="1:13">
      <c r="A31" t="s">
        <v>125</v>
      </c>
      <c r="B31" s="1" t="s">
        <v>124</v>
      </c>
      <c r="C31" t="s">
        <v>126</v>
      </c>
      <c r="D31" t="s">
        <v>263</v>
      </c>
      <c r="E31" t="s">
        <v>548</v>
      </c>
      <c r="F31" t="s">
        <v>23</v>
      </c>
      <c r="G31">
        <v>1</v>
      </c>
      <c r="H31">
        <v>0.33300000000000002</v>
      </c>
      <c r="I31">
        <f t="shared" si="0"/>
        <v>0.4996249062265567</v>
      </c>
      <c r="J31">
        <v>0</v>
      </c>
      <c r="K31">
        <v>0</v>
      </c>
      <c r="L31">
        <v>596</v>
      </c>
      <c r="M31">
        <f t="shared" si="1"/>
        <v>0</v>
      </c>
    </row>
    <row r="32" spans="1:13">
      <c r="A32" t="s">
        <v>129</v>
      </c>
      <c r="B32" s="1" t="s">
        <v>130</v>
      </c>
      <c r="C32" t="s">
        <v>131</v>
      </c>
      <c r="D32" t="s">
        <v>91</v>
      </c>
      <c r="E32" t="s">
        <v>493</v>
      </c>
      <c r="F32" t="s">
        <v>83</v>
      </c>
      <c r="G32">
        <v>1</v>
      </c>
      <c r="H32">
        <v>0.33300000000000002</v>
      </c>
      <c r="I32">
        <f t="shared" si="0"/>
        <v>0.4996249062265567</v>
      </c>
      <c r="J32">
        <v>0.33300000000000002</v>
      </c>
      <c r="K32">
        <v>0.4</v>
      </c>
      <c r="L32">
        <v>549</v>
      </c>
      <c r="M32">
        <f t="shared" si="1"/>
        <v>0.36299999999999999</v>
      </c>
    </row>
    <row r="33" spans="1:13">
      <c r="A33" s="3" t="s">
        <v>133</v>
      </c>
      <c r="B33" s="1" t="s">
        <v>115</v>
      </c>
      <c r="C33" t="s">
        <v>134</v>
      </c>
      <c r="D33" t="s">
        <v>285</v>
      </c>
      <c r="E33" t="s">
        <v>549</v>
      </c>
      <c r="F33" t="s">
        <v>531</v>
      </c>
      <c r="G33">
        <v>0.5</v>
      </c>
      <c r="H33">
        <v>0.5</v>
      </c>
      <c r="I33">
        <f t="shared" si="0"/>
        <v>0.5</v>
      </c>
      <c r="J33">
        <v>0.75</v>
      </c>
      <c r="K33">
        <v>0.6</v>
      </c>
      <c r="L33">
        <v>592</v>
      </c>
      <c r="M33">
        <f t="shared" si="1"/>
        <v>0.66700000000000004</v>
      </c>
    </row>
    <row r="34" spans="1:13">
      <c r="A34" t="s">
        <v>137</v>
      </c>
      <c r="B34" s="1" t="s">
        <v>91</v>
      </c>
      <c r="C34" t="s">
        <v>138</v>
      </c>
      <c r="D34" t="s">
        <v>91</v>
      </c>
      <c r="E34" t="s">
        <v>139</v>
      </c>
      <c r="F34" t="s">
        <v>83</v>
      </c>
      <c r="G34">
        <v>1</v>
      </c>
      <c r="H34">
        <v>1</v>
      </c>
      <c r="I34">
        <f t="shared" ref="I34:I65" si="2">IF(G34+H34=0,0,2*G34*H34/(G34+H34))</f>
        <v>1</v>
      </c>
      <c r="J34">
        <v>0.375</v>
      </c>
      <c r="K34">
        <v>0.6</v>
      </c>
      <c r="L34">
        <v>552</v>
      </c>
      <c r="M34">
        <f t="shared" ref="M34:M65" si="3">IF(J34+K34=0,0,ROUND(2*J34*K34/(J34+K34),3))</f>
        <v>0.46200000000000002</v>
      </c>
    </row>
    <row r="35" spans="1:13">
      <c r="A35" t="s">
        <v>140</v>
      </c>
      <c r="B35" s="1" t="s">
        <v>7</v>
      </c>
      <c r="C35" t="s">
        <v>141</v>
      </c>
      <c r="D35" t="s">
        <v>550</v>
      </c>
      <c r="E35" t="s">
        <v>10</v>
      </c>
      <c r="F35" t="s">
        <v>11</v>
      </c>
      <c r="G35">
        <v>0.5</v>
      </c>
      <c r="H35">
        <v>0.5</v>
      </c>
      <c r="I35">
        <f t="shared" si="2"/>
        <v>0.5</v>
      </c>
      <c r="J35">
        <v>0.66700000000000004</v>
      </c>
      <c r="K35">
        <v>0.33300000000000002</v>
      </c>
      <c r="L35">
        <v>552</v>
      </c>
      <c r="M35">
        <f t="shared" si="3"/>
        <v>0.44400000000000001</v>
      </c>
    </row>
    <row r="36" spans="1:13">
      <c r="A36" t="s">
        <v>143</v>
      </c>
      <c r="B36" s="1" t="s">
        <v>3</v>
      </c>
      <c r="C36" t="s">
        <v>97</v>
      </c>
      <c r="D36" t="s">
        <v>3</v>
      </c>
      <c r="E36" t="s">
        <v>97</v>
      </c>
      <c r="F36" t="s">
        <v>35</v>
      </c>
      <c r="G36">
        <v>1</v>
      </c>
      <c r="H36">
        <v>1</v>
      </c>
      <c r="I36">
        <f t="shared" si="2"/>
        <v>1</v>
      </c>
      <c r="J36">
        <v>1</v>
      </c>
      <c r="K36">
        <v>1</v>
      </c>
      <c r="L36">
        <v>515</v>
      </c>
      <c r="M36">
        <f t="shared" si="3"/>
        <v>1</v>
      </c>
    </row>
    <row r="37" spans="1:13">
      <c r="A37" t="s">
        <v>144</v>
      </c>
      <c r="B37" s="1" t="s">
        <v>145</v>
      </c>
      <c r="C37" t="s">
        <v>146</v>
      </c>
      <c r="D37" t="s">
        <v>263</v>
      </c>
      <c r="E37" t="s">
        <v>551</v>
      </c>
      <c r="F37" t="s">
        <v>17</v>
      </c>
      <c r="G37">
        <v>0</v>
      </c>
      <c r="H37">
        <v>0</v>
      </c>
      <c r="I37">
        <f t="shared" si="2"/>
        <v>0</v>
      </c>
      <c r="J37">
        <v>0.33300000000000002</v>
      </c>
      <c r="K37">
        <v>0.5</v>
      </c>
      <c r="L37">
        <v>610</v>
      </c>
      <c r="M37">
        <f t="shared" si="3"/>
        <v>0.4</v>
      </c>
    </row>
    <row r="38" spans="1:13">
      <c r="A38" t="s">
        <v>149</v>
      </c>
      <c r="B38" s="1" t="s">
        <v>61</v>
      </c>
      <c r="C38" t="s">
        <v>150</v>
      </c>
      <c r="D38" t="s">
        <v>46</v>
      </c>
      <c r="E38" t="s">
        <v>552</v>
      </c>
      <c r="F38" t="s">
        <v>469</v>
      </c>
      <c r="G38">
        <v>0.5</v>
      </c>
      <c r="H38">
        <v>1</v>
      </c>
      <c r="I38">
        <f t="shared" si="2"/>
        <v>0.66666666666666663</v>
      </c>
      <c r="J38">
        <v>0.66700000000000004</v>
      </c>
      <c r="K38">
        <v>0.66700000000000004</v>
      </c>
      <c r="L38">
        <v>687</v>
      </c>
      <c r="M38">
        <f t="shared" si="3"/>
        <v>0.66700000000000004</v>
      </c>
    </row>
    <row r="39" spans="1:13">
      <c r="A39" t="s">
        <v>152</v>
      </c>
      <c r="B39" s="1" t="s">
        <v>153</v>
      </c>
      <c r="C39" t="s">
        <v>154</v>
      </c>
      <c r="D39" t="s">
        <v>54</v>
      </c>
      <c r="E39" t="s">
        <v>553</v>
      </c>
      <c r="F39" t="s">
        <v>29</v>
      </c>
      <c r="G39">
        <v>1</v>
      </c>
      <c r="H39">
        <v>0.5</v>
      </c>
      <c r="I39">
        <f t="shared" si="2"/>
        <v>0.66666666666666663</v>
      </c>
      <c r="J39">
        <v>0.5</v>
      </c>
      <c r="K39">
        <v>0.66700000000000004</v>
      </c>
      <c r="L39">
        <v>534</v>
      </c>
      <c r="M39">
        <f t="shared" si="3"/>
        <v>0.57199999999999995</v>
      </c>
    </row>
    <row r="40" spans="1:13">
      <c r="A40" t="s">
        <v>156</v>
      </c>
      <c r="B40" s="1" t="s">
        <v>157</v>
      </c>
      <c r="C40" t="s">
        <v>158</v>
      </c>
      <c r="D40" t="s">
        <v>427</v>
      </c>
      <c r="E40" t="s">
        <v>499</v>
      </c>
      <c r="F40" t="s">
        <v>29</v>
      </c>
      <c r="G40">
        <v>0.5</v>
      </c>
      <c r="H40">
        <v>1</v>
      </c>
      <c r="I40">
        <f t="shared" si="2"/>
        <v>0.66666666666666663</v>
      </c>
      <c r="J40">
        <v>1</v>
      </c>
      <c r="K40">
        <v>0.5</v>
      </c>
      <c r="L40">
        <v>586</v>
      </c>
      <c r="M40">
        <f t="shared" si="3"/>
        <v>0.66700000000000004</v>
      </c>
    </row>
    <row r="41" spans="1:13">
      <c r="A41" t="s">
        <v>161</v>
      </c>
      <c r="B41" s="1" t="s">
        <v>7</v>
      </c>
      <c r="C41" t="s">
        <v>162</v>
      </c>
      <c r="D41" t="s">
        <v>67</v>
      </c>
      <c r="E41" t="s">
        <v>163</v>
      </c>
      <c r="F41" t="s">
        <v>11</v>
      </c>
      <c r="G41">
        <v>1</v>
      </c>
      <c r="H41">
        <v>1</v>
      </c>
      <c r="I41">
        <f t="shared" si="2"/>
        <v>1</v>
      </c>
      <c r="J41">
        <v>1</v>
      </c>
      <c r="K41">
        <v>0.75</v>
      </c>
      <c r="L41">
        <v>609</v>
      </c>
      <c r="M41">
        <f t="shared" si="3"/>
        <v>0.85699999999999998</v>
      </c>
    </row>
    <row r="42" spans="1:13">
      <c r="A42" t="s">
        <v>164</v>
      </c>
      <c r="B42" s="1" t="s">
        <v>165</v>
      </c>
      <c r="C42" t="s">
        <v>166</v>
      </c>
      <c r="D42" t="s">
        <v>277</v>
      </c>
      <c r="E42" t="s">
        <v>55</v>
      </c>
      <c r="F42" t="s">
        <v>29</v>
      </c>
      <c r="G42">
        <v>1</v>
      </c>
      <c r="H42">
        <v>0.33300000000000002</v>
      </c>
      <c r="I42">
        <f t="shared" si="2"/>
        <v>0.4996249062265567</v>
      </c>
      <c r="J42">
        <v>0</v>
      </c>
      <c r="K42">
        <v>0</v>
      </c>
      <c r="L42">
        <v>527</v>
      </c>
      <c r="M42">
        <f t="shared" si="3"/>
        <v>0</v>
      </c>
    </row>
    <row r="43" spans="1:13">
      <c r="A43" t="s">
        <v>169</v>
      </c>
      <c r="B43" s="1" t="s">
        <v>48</v>
      </c>
      <c r="C43" t="s">
        <v>170</v>
      </c>
      <c r="D43" t="s">
        <v>263</v>
      </c>
      <c r="G43">
        <v>0</v>
      </c>
      <c r="H43">
        <v>0</v>
      </c>
      <c r="I43">
        <f t="shared" si="2"/>
        <v>0</v>
      </c>
      <c r="J43">
        <v>0</v>
      </c>
      <c r="K43">
        <v>0</v>
      </c>
      <c r="L43">
        <v>591</v>
      </c>
      <c r="M43">
        <f t="shared" si="3"/>
        <v>0</v>
      </c>
    </row>
    <row r="44" spans="1:13">
      <c r="A44" t="s">
        <v>173</v>
      </c>
      <c r="B44" s="1" t="s">
        <v>19</v>
      </c>
      <c r="C44" t="s">
        <v>174</v>
      </c>
      <c r="D44" t="s">
        <v>46</v>
      </c>
      <c r="E44" t="s">
        <v>554</v>
      </c>
      <c r="F44" t="s">
        <v>510</v>
      </c>
      <c r="G44">
        <v>1</v>
      </c>
      <c r="H44">
        <v>1</v>
      </c>
      <c r="I44">
        <f t="shared" si="2"/>
        <v>1</v>
      </c>
      <c r="J44">
        <v>0.6</v>
      </c>
      <c r="K44">
        <v>0.75</v>
      </c>
      <c r="L44">
        <v>695</v>
      </c>
      <c r="M44">
        <f t="shared" si="3"/>
        <v>0.66700000000000004</v>
      </c>
    </row>
    <row r="45" spans="1:13">
      <c r="A45" t="s">
        <v>177</v>
      </c>
      <c r="B45" s="1" t="s">
        <v>178</v>
      </c>
      <c r="C45" t="s">
        <v>92</v>
      </c>
      <c r="D45" t="s">
        <v>91</v>
      </c>
      <c r="E45" t="s">
        <v>502</v>
      </c>
      <c r="F45" t="s">
        <v>83</v>
      </c>
      <c r="G45">
        <v>1</v>
      </c>
      <c r="H45">
        <v>0.5</v>
      </c>
      <c r="I45">
        <f t="shared" si="2"/>
        <v>0.66666666666666663</v>
      </c>
      <c r="J45">
        <v>0.625</v>
      </c>
      <c r="K45">
        <v>1</v>
      </c>
      <c r="L45">
        <v>550</v>
      </c>
      <c r="M45">
        <f t="shared" si="3"/>
        <v>0.76900000000000002</v>
      </c>
    </row>
    <row r="46" spans="1:13">
      <c r="A46" t="s">
        <v>180</v>
      </c>
      <c r="B46" s="1" t="s">
        <v>61</v>
      </c>
      <c r="C46" t="s">
        <v>49</v>
      </c>
      <c r="D46" t="s">
        <v>19</v>
      </c>
      <c r="E46" t="s">
        <v>555</v>
      </c>
      <c r="F46" t="s">
        <v>531</v>
      </c>
      <c r="G46">
        <v>0.5</v>
      </c>
      <c r="H46">
        <v>1</v>
      </c>
      <c r="I46">
        <f t="shared" si="2"/>
        <v>0.66666666666666663</v>
      </c>
      <c r="J46">
        <v>0.75</v>
      </c>
      <c r="K46">
        <v>1</v>
      </c>
      <c r="L46">
        <v>694</v>
      </c>
      <c r="M46">
        <f t="shared" si="3"/>
        <v>0.85699999999999998</v>
      </c>
    </row>
    <row r="47" spans="1:13">
      <c r="A47" t="s">
        <v>182</v>
      </c>
      <c r="B47" s="1" t="s">
        <v>183</v>
      </c>
      <c r="C47" t="s">
        <v>184</v>
      </c>
      <c r="D47" t="s">
        <v>277</v>
      </c>
      <c r="E47" t="s">
        <v>118</v>
      </c>
      <c r="F47" t="s">
        <v>29</v>
      </c>
      <c r="G47">
        <v>1</v>
      </c>
      <c r="H47">
        <v>0.5</v>
      </c>
      <c r="I47">
        <f t="shared" si="2"/>
        <v>0.66666666666666663</v>
      </c>
      <c r="J47">
        <v>1</v>
      </c>
      <c r="K47">
        <v>0.5</v>
      </c>
      <c r="L47">
        <v>525</v>
      </c>
      <c r="M47">
        <f t="shared" si="3"/>
        <v>0.66700000000000004</v>
      </c>
    </row>
    <row r="48" spans="1:13">
      <c r="A48" t="s">
        <v>186</v>
      </c>
      <c r="B48" s="1" t="s">
        <v>61</v>
      </c>
      <c r="C48" t="s">
        <v>187</v>
      </c>
      <c r="D48" t="s">
        <v>25</v>
      </c>
      <c r="E48" t="s">
        <v>55</v>
      </c>
      <c r="F48" t="s">
        <v>29</v>
      </c>
      <c r="G48">
        <v>0</v>
      </c>
      <c r="H48">
        <v>0</v>
      </c>
      <c r="I48">
        <f t="shared" si="2"/>
        <v>0</v>
      </c>
      <c r="J48">
        <v>0</v>
      </c>
      <c r="K48">
        <v>0</v>
      </c>
      <c r="L48">
        <v>543</v>
      </c>
      <c r="M48">
        <f t="shared" si="3"/>
        <v>0</v>
      </c>
    </row>
    <row r="49" spans="1:13">
      <c r="A49" t="s">
        <v>188</v>
      </c>
      <c r="B49" s="1" t="s">
        <v>48</v>
      </c>
      <c r="C49" t="s">
        <v>189</v>
      </c>
      <c r="D49" t="s">
        <v>190</v>
      </c>
      <c r="E49" t="s">
        <v>556</v>
      </c>
      <c r="F49" t="s">
        <v>531</v>
      </c>
      <c r="G49">
        <v>0.66700000000000004</v>
      </c>
      <c r="H49">
        <v>1</v>
      </c>
      <c r="I49">
        <f t="shared" si="2"/>
        <v>0.80023995200959808</v>
      </c>
      <c r="J49">
        <v>0.75</v>
      </c>
      <c r="K49">
        <v>0.75</v>
      </c>
      <c r="L49">
        <v>748</v>
      </c>
      <c r="M49">
        <f t="shared" si="3"/>
        <v>0.75</v>
      </c>
    </row>
    <row r="50" spans="1:13">
      <c r="A50" t="s">
        <v>192</v>
      </c>
      <c r="B50" s="1" t="s">
        <v>157</v>
      </c>
      <c r="C50" t="s">
        <v>193</v>
      </c>
      <c r="D50" t="s">
        <v>157</v>
      </c>
      <c r="E50" t="s">
        <v>557</v>
      </c>
      <c r="F50" t="s">
        <v>531</v>
      </c>
      <c r="G50">
        <v>1</v>
      </c>
      <c r="H50">
        <v>1</v>
      </c>
      <c r="I50">
        <f t="shared" si="2"/>
        <v>1</v>
      </c>
      <c r="J50">
        <v>0.75</v>
      </c>
      <c r="K50">
        <v>0.75</v>
      </c>
      <c r="L50">
        <v>566</v>
      </c>
      <c r="M50">
        <f t="shared" si="3"/>
        <v>0.75</v>
      </c>
    </row>
    <row r="51" spans="1:13">
      <c r="A51" t="s">
        <v>196</v>
      </c>
      <c r="B51" s="1" t="s">
        <v>7</v>
      </c>
      <c r="C51" t="s">
        <v>162</v>
      </c>
      <c r="D51" t="s">
        <v>7</v>
      </c>
      <c r="E51" t="s">
        <v>558</v>
      </c>
      <c r="F51" t="s">
        <v>11</v>
      </c>
      <c r="G51">
        <v>1</v>
      </c>
      <c r="H51">
        <v>1</v>
      </c>
      <c r="I51">
        <f t="shared" si="2"/>
        <v>1</v>
      </c>
      <c r="J51">
        <v>0.66700000000000004</v>
      </c>
      <c r="K51">
        <v>0.5</v>
      </c>
      <c r="L51">
        <v>612</v>
      </c>
      <c r="M51">
        <f t="shared" si="3"/>
        <v>0.57199999999999995</v>
      </c>
    </row>
    <row r="52" spans="1:13">
      <c r="A52" t="s">
        <v>198</v>
      </c>
      <c r="B52" s="1" t="s">
        <v>199</v>
      </c>
      <c r="C52" t="s">
        <v>200</v>
      </c>
      <c r="D52" t="s">
        <v>3</v>
      </c>
      <c r="E52" t="s">
        <v>97</v>
      </c>
      <c r="F52" t="s">
        <v>35</v>
      </c>
      <c r="G52">
        <v>1</v>
      </c>
      <c r="H52">
        <v>0.33300000000000002</v>
      </c>
      <c r="I52">
        <f t="shared" si="2"/>
        <v>0.4996249062265567</v>
      </c>
      <c r="J52">
        <v>1</v>
      </c>
      <c r="K52">
        <v>0.25</v>
      </c>
      <c r="L52">
        <v>515</v>
      </c>
      <c r="M52">
        <f t="shared" si="3"/>
        <v>0.4</v>
      </c>
    </row>
    <row r="53" spans="1:13">
      <c r="A53" t="s">
        <v>203</v>
      </c>
      <c r="B53" s="1" t="s">
        <v>25</v>
      </c>
      <c r="C53" t="s">
        <v>204</v>
      </c>
      <c r="D53" t="s">
        <v>54</v>
      </c>
      <c r="E53" t="s">
        <v>369</v>
      </c>
      <c r="F53" t="s">
        <v>29</v>
      </c>
      <c r="G53">
        <v>1</v>
      </c>
      <c r="H53">
        <v>0.5</v>
      </c>
      <c r="I53">
        <f t="shared" si="2"/>
        <v>0.66666666666666663</v>
      </c>
      <c r="J53">
        <v>0.5</v>
      </c>
      <c r="K53">
        <v>0.25</v>
      </c>
      <c r="L53">
        <v>529</v>
      </c>
      <c r="M53">
        <f t="shared" si="3"/>
        <v>0.33300000000000002</v>
      </c>
    </row>
    <row r="54" spans="1:13">
      <c r="A54" t="s">
        <v>207</v>
      </c>
      <c r="B54" s="1" t="s">
        <v>1</v>
      </c>
      <c r="C54" t="s">
        <v>208</v>
      </c>
      <c r="D54" t="s">
        <v>3</v>
      </c>
      <c r="E54" t="s">
        <v>4</v>
      </c>
      <c r="F54" t="s">
        <v>5</v>
      </c>
      <c r="G54">
        <v>1</v>
      </c>
      <c r="H54">
        <v>0.5</v>
      </c>
      <c r="I54">
        <f t="shared" si="2"/>
        <v>0.66666666666666663</v>
      </c>
      <c r="J54">
        <v>0</v>
      </c>
      <c r="K54">
        <v>0</v>
      </c>
      <c r="L54">
        <v>518</v>
      </c>
      <c r="M54">
        <f t="shared" si="3"/>
        <v>0</v>
      </c>
    </row>
    <row r="55" spans="1:13">
      <c r="A55" t="s">
        <v>209</v>
      </c>
      <c r="B55" s="1" t="s">
        <v>113</v>
      </c>
      <c r="C55" t="s">
        <v>210</v>
      </c>
      <c r="D55" t="s">
        <v>559</v>
      </c>
      <c r="E55" t="s">
        <v>560</v>
      </c>
      <c r="F55" t="s">
        <v>11</v>
      </c>
      <c r="G55">
        <v>0</v>
      </c>
      <c r="H55">
        <v>0</v>
      </c>
      <c r="I55">
        <f t="shared" si="2"/>
        <v>0</v>
      </c>
      <c r="J55">
        <v>0.66700000000000004</v>
      </c>
      <c r="K55">
        <v>0.5</v>
      </c>
      <c r="L55">
        <v>654</v>
      </c>
      <c r="M55">
        <f t="shared" si="3"/>
        <v>0.57199999999999995</v>
      </c>
    </row>
    <row r="56" spans="1:13">
      <c r="A56" t="s">
        <v>212</v>
      </c>
      <c r="B56" s="1" t="s">
        <v>67</v>
      </c>
      <c r="C56" t="s">
        <v>213</v>
      </c>
      <c r="D56" t="s">
        <v>67</v>
      </c>
      <c r="E56" t="s">
        <v>211</v>
      </c>
      <c r="F56" t="s">
        <v>11</v>
      </c>
      <c r="G56">
        <v>1</v>
      </c>
      <c r="H56">
        <v>1</v>
      </c>
      <c r="I56">
        <f t="shared" si="2"/>
        <v>1</v>
      </c>
      <c r="J56">
        <v>1</v>
      </c>
      <c r="K56">
        <v>0.75</v>
      </c>
      <c r="L56">
        <v>611</v>
      </c>
      <c r="M56">
        <f t="shared" si="3"/>
        <v>0.85699999999999998</v>
      </c>
    </row>
    <row r="57" spans="1:13">
      <c r="A57" t="s">
        <v>215</v>
      </c>
      <c r="B57" s="1" t="s">
        <v>216</v>
      </c>
      <c r="C57" t="s">
        <v>217</v>
      </c>
      <c r="D57" t="s">
        <v>263</v>
      </c>
      <c r="E57" t="s">
        <v>22</v>
      </c>
      <c r="F57" t="s">
        <v>23</v>
      </c>
      <c r="G57">
        <v>1</v>
      </c>
      <c r="H57">
        <v>0.33300000000000002</v>
      </c>
      <c r="I57">
        <f t="shared" si="2"/>
        <v>0.4996249062265567</v>
      </c>
      <c r="J57">
        <v>1</v>
      </c>
      <c r="K57">
        <v>0.5</v>
      </c>
      <c r="L57">
        <v>604</v>
      </c>
      <c r="M57">
        <f t="shared" si="3"/>
        <v>0.66700000000000004</v>
      </c>
    </row>
    <row r="58" spans="1:13">
      <c r="A58" t="s">
        <v>218</v>
      </c>
      <c r="B58" s="1" t="s">
        <v>656</v>
      </c>
      <c r="C58" t="s">
        <v>22</v>
      </c>
      <c r="D58" t="s">
        <v>91</v>
      </c>
      <c r="E58" t="s">
        <v>22</v>
      </c>
      <c r="F58" t="s">
        <v>23</v>
      </c>
      <c r="G58">
        <v>1</v>
      </c>
      <c r="H58">
        <v>0.33300000000000002</v>
      </c>
      <c r="I58">
        <f t="shared" si="2"/>
        <v>0.4996249062265567</v>
      </c>
      <c r="J58">
        <v>1</v>
      </c>
      <c r="K58">
        <v>1</v>
      </c>
      <c r="L58">
        <v>535</v>
      </c>
      <c r="M58">
        <f t="shared" si="3"/>
        <v>1</v>
      </c>
    </row>
    <row r="59" spans="1:13">
      <c r="A59" t="s">
        <v>219</v>
      </c>
      <c r="B59" s="1" t="s">
        <v>220</v>
      </c>
      <c r="C59" t="s">
        <v>221</v>
      </c>
      <c r="D59" t="s">
        <v>3</v>
      </c>
      <c r="E59" t="s">
        <v>221</v>
      </c>
      <c r="F59" t="s">
        <v>222</v>
      </c>
      <c r="G59">
        <v>1</v>
      </c>
      <c r="H59">
        <v>0.5</v>
      </c>
      <c r="I59">
        <f t="shared" si="2"/>
        <v>0.66666666666666663</v>
      </c>
      <c r="J59">
        <v>1</v>
      </c>
      <c r="K59">
        <v>1</v>
      </c>
      <c r="L59">
        <v>523</v>
      </c>
      <c r="M59">
        <f t="shared" si="3"/>
        <v>1</v>
      </c>
    </row>
    <row r="60" spans="1:13">
      <c r="A60" t="s">
        <v>223</v>
      </c>
      <c r="B60" s="1" t="s">
        <v>7</v>
      </c>
      <c r="C60" t="s">
        <v>213</v>
      </c>
      <c r="D60" t="s">
        <v>67</v>
      </c>
      <c r="E60" t="s">
        <v>211</v>
      </c>
      <c r="F60" t="s">
        <v>11</v>
      </c>
      <c r="G60">
        <v>1</v>
      </c>
      <c r="H60">
        <v>1</v>
      </c>
      <c r="I60">
        <f t="shared" si="2"/>
        <v>1</v>
      </c>
      <c r="J60">
        <v>1</v>
      </c>
      <c r="K60">
        <v>0.75</v>
      </c>
      <c r="L60">
        <v>609</v>
      </c>
      <c r="M60">
        <f t="shared" si="3"/>
        <v>0.85699999999999998</v>
      </c>
    </row>
    <row r="61" spans="1:13">
      <c r="A61" t="s">
        <v>224</v>
      </c>
      <c r="B61" s="1" t="s">
        <v>225</v>
      </c>
      <c r="C61" t="s">
        <v>226</v>
      </c>
      <c r="D61" t="s">
        <v>561</v>
      </c>
      <c r="E61" t="s">
        <v>562</v>
      </c>
      <c r="F61" t="s">
        <v>23</v>
      </c>
      <c r="G61">
        <v>0.66700000000000004</v>
      </c>
      <c r="H61">
        <v>1</v>
      </c>
      <c r="I61">
        <f t="shared" si="2"/>
        <v>0.80023995200959808</v>
      </c>
      <c r="J61">
        <v>0.5</v>
      </c>
      <c r="K61">
        <v>0.25</v>
      </c>
      <c r="L61">
        <v>796</v>
      </c>
      <c r="M61">
        <f t="shared" si="3"/>
        <v>0.33300000000000002</v>
      </c>
    </row>
    <row r="62" spans="1:13">
      <c r="A62" t="s">
        <v>228</v>
      </c>
      <c r="B62" s="1" t="s">
        <v>229</v>
      </c>
      <c r="C62" t="s">
        <v>230</v>
      </c>
      <c r="D62" t="s">
        <v>46</v>
      </c>
      <c r="E62" t="s">
        <v>563</v>
      </c>
      <c r="F62" t="s">
        <v>564</v>
      </c>
      <c r="G62">
        <v>0.5</v>
      </c>
      <c r="H62">
        <v>0.5</v>
      </c>
      <c r="I62">
        <f t="shared" si="2"/>
        <v>0.5</v>
      </c>
      <c r="J62">
        <v>0.25</v>
      </c>
      <c r="K62">
        <v>0.5</v>
      </c>
      <c r="L62">
        <v>702</v>
      </c>
      <c r="M62">
        <f t="shared" si="3"/>
        <v>0.33300000000000002</v>
      </c>
    </row>
    <row r="63" spans="1:13">
      <c r="A63" t="s">
        <v>232</v>
      </c>
      <c r="B63" s="1" t="s">
        <v>61</v>
      </c>
      <c r="C63" t="s">
        <v>233</v>
      </c>
      <c r="D63" t="s">
        <v>46</v>
      </c>
      <c r="E63" t="s">
        <v>565</v>
      </c>
      <c r="F63" t="s">
        <v>469</v>
      </c>
      <c r="G63">
        <v>0.5</v>
      </c>
      <c r="H63">
        <v>1</v>
      </c>
      <c r="I63">
        <f t="shared" si="2"/>
        <v>0.66666666666666663</v>
      </c>
      <c r="J63">
        <v>0.75</v>
      </c>
      <c r="K63">
        <v>0.375</v>
      </c>
      <c r="L63">
        <v>697</v>
      </c>
      <c r="M63">
        <f t="shared" si="3"/>
        <v>0.5</v>
      </c>
    </row>
    <row r="64" spans="1:13">
      <c r="A64" t="s">
        <v>235</v>
      </c>
      <c r="B64" s="1" t="s">
        <v>236</v>
      </c>
      <c r="C64" t="s">
        <v>237</v>
      </c>
      <c r="D64" t="s">
        <v>566</v>
      </c>
      <c r="E64" t="s">
        <v>250</v>
      </c>
      <c r="F64" t="s">
        <v>567</v>
      </c>
      <c r="G64">
        <v>0.5</v>
      </c>
      <c r="H64">
        <v>0.33300000000000002</v>
      </c>
      <c r="I64">
        <f t="shared" si="2"/>
        <v>0.39975990396158467</v>
      </c>
      <c r="J64">
        <v>0.25</v>
      </c>
      <c r="K64">
        <v>0.5</v>
      </c>
      <c r="L64">
        <v>568</v>
      </c>
      <c r="M64">
        <f t="shared" si="3"/>
        <v>0.33300000000000002</v>
      </c>
    </row>
    <row r="65" spans="1:13">
      <c r="A65" t="s">
        <v>240</v>
      </c>
      <c r="B65" s="1" t="s">
        <v>220</v>
      </c>
      <c r="C65" t="s">
        <v>221</v>
      </c>
      <c r="D65" t="s">
        <v>3</v>
      </c>
      <c r="E65" t="s">
        <v>373</v>
      </c>
      <c r="F65" t="s">
        <v>5</v>
      </c>
      <c r="G65">
        <v>1</v>
      </c>
      <c r="H65">
        <v>0.5</v>
      </c>
      <c r="I65">
        <f t="shared" si="2"/>
        <v>0.66666666666666663</v>
      </c>
      <c r="J65">
        <v>0.5</v>
      </c>
      <c r="K65">
        <v>1</v>
      </c>
      <c r="L65">
        <v>530</v>
      </c>
      <c r="M65">
        <f t="shared" si="3"/>
        <v>0.66700000000000004</v>
      </c>
    </row>
    <row r="66" spans="1:13">
      <c r="A66" t="s">
        <v>242</v>
      </c>
      <c r="B66" s="1" t="s">
        <v>25</v>
      </c>
      <c r="C66" t="s">
        <v>243</v>
      </c>
      <c r="D66" t="s">
        <v>54</v>
      </c>
      <c r="E66" t="s">
        <v>262</v>
      </c>
      <c r="F66" t="s">
        <v>29</v>
      </c>
      <c r="G66">
        <v>1</v>
      </c>
      <c r="H66">
        <v>0.5</v>
      </c>
      <c r="I66">
        <f t="shared" ref="I66:I97" si="4">IF(G66+H66=0,0,2*G66*H66/(G66+H66))</f>
        <v>0.66666666666666663</v>
      </c>
      <c r="J66">
        <v>1</v>
      </c>
      <c r="K66">
        <v>0.75</v>
      </c>
      <c r="L66">
        <v>536</v>
      </c>
      <c r="M66">
        <f t="shared" ref="M66:M94" si="5">IF(J66+K66=0,0,ROUND(2*J66*K66/(J66+K66),3))</f>
        <v>0.85699999999999998</v>
      </c>
    </row>
    <row r="67" spans="1:13">
      <c r="A67" t="s">
        <v>244</v>
      </c>
      <c r="B67" s="1" t="s">
        <v>245</v>
      </c>
      <c r="C67" t="s">
        <v>246</v>
      </c>
      <c r="D67" t="s">
        <v>25</v>
      </c>
      <c r="E67" t="s">
        <v>34</v>
      </c>
      <c r="F67" t="s">
        <v>35</v>
      </c>
      <c r="G67">
        <v>0.5</v>
      </c>
      <c r="H67">
        <v>0.5</v>
      </c>
      <c r="I67">
        <f t="shared" si="4"/>
        <v>0.5</v>
      </c>
      <c r="J67">
        <v>0</v>
      </c>
      <c r="K67">
        <v>0</v>
      </c>
      <c r="L67">
        <v>541</v>
      </c>
      <c r="M67">
        <f t="shared" si="5"/>
        <v>0</v>
      </c>
    </row>
    <row r="68" spans="1:13">
      <c r="A68" t="s">
        <v>249</v>
      </c>
      <c r="B68" s="1" t="s">
        <v>54</v>
      </c>
      <c r="C68" t="s">
        <v>250</v>
      </c>
      <c r="D68" t="s">
        <v>54</v>
      </c>
      <c r="E68" t="s">
        <v>513</v>
      </c>
      <c r="F68" t="s">
        <v>222</v>
      </c>
      <c r="G68">
        <v>1</v>
      </c>
      <c r="H68">
        <v>1</v>
      </c>
      <c r="I68">
        <f t="shared" si="4"/>
        <v>1</v>
      </c>
      <c r="J68">
        <v>1</v>
      </c>
      <c r="K68">
        <v>0.5</v>
      </c>
      <c r="L68">
        <v>530</v>
      </c>
      <c r="M68">
        <f t="shared" si="5"/>
        <v>0.66700000000000004</v>
      </c>
    </row>
    <row r="69" spans="1:13">
      <c r="A69" t="s">
        <v>253</v>
      </c>
      <c r="B69" s="1" t="s">
        <v>254</v>
      </c>
      <c r="C69" t="s">
        <v>255</v>
      </c>
      <c r="D69" t="s">
        <v>147</v>
      </c>
      <c r="E69" t="s">
        <v>568</v>
      </c>
      <c r="F69" t="s">
        <v>29</v>
      </c>
      <c r="G69">
        <v>0</v>
      </c>
      <c r="H69">
        <v>0</v>
      </c>
      <c r="I69">
        <f t="shared" si="4"/>
        <v>0</v>
      </c>
      <c r="J69">
        <v>0.33300000000000002</v>
      </c>
      <c r="K69">
        <v>0.25</v>
      </c>
      <c r="L69">
        <v>611</v>
      </c>
      <c r="M69">
        <f t="shared" si="5"/>
        <v>0.28599999999999998</v>
      </c>
    </row>
    <row r="70" spans="1:13">
      <c r="A70" t="s">
        <v>257</v>
      </c>
      <c r="B70" s="1" t="s">
        <v>7</v>
      </c>
      <c r="C70" t="s">
        <v>258</v>
      </c>
      <c r="D70" t="s">
        <v>9</v>
      </c>
      <c r="E70" t="s">
        <v>10</v>
      </c>
      <c r="F70" t="s">
        <v>11</v>
      </c>
      <c r="G70">
        <v>1</v>
      </c>
      <c r="H70">
        <v>0.5</v>
      </c>
      <c r="I70">
        <f t="shared" si="4"/>
        <v>0.66666666666666663</v>
      </c>
      <c r="J70">
        <v>0.66700000000000004</v>
      </c>
      <c r="K70">
        <v>0.33300000000000002</v>
      </c>
      <c r="L70">
        <v>547</v>
      </c>
      <c r="M70">
        <f t="shared" si="5"/>
        <v>0.44400000000000001</v>
      </c>
    </row>
    <row r="71" spans="1:13">
      <c r="A71" t="s">
        <v>261</v>
      </c>
      <c r="B71" s="1" t="s">
        <v>25</v>
      </c>
      <c r="C71" t="s">
        <v>118</v>
      </c>
      <c r="D71" t="s">
        <v>54</v>
      </c>
      <c r="E71" t="s">
        <v>340</v>
      </c>
      <c r="F71" t="s">
        <v>29</v>
      </c>
      <c r="G71">
        <v>1</v>
      </c>
      <c r="H71">
        <v>0.5</v>
      </c>
      <c r="I71">
        <f t="shared" si="4"/>
        <v>0.66666666666666663</v>
      </c>
      <c r="J71">
        <v>0.4</v>
      </c>
      <c r="K71">
        <v>1</v>
      </c>
      <c r="L71">
        <v>533</v>
      </c>
      <c r="M71">
        <f t="shared" si="5"/>
        <v>0.57099999999999995</v>
      </c>
    </row>
    <row r="72" spans="1:13">
      <c r="A72" t="s">
        <v>18</v>
      </c>
      <c r="B72" s="1" t="s">
        <v>46</v>
      </c>
      <c r="C72" t="s">
        <v>22</v>
      </c>
      <c r="D72" t="s">
        <v>263</v>
      </c>
      <c r="E72" t="s">
        <v>22</v>
      </c>
      <c r="F72" t="s">
        <v>23</v>
      </c>
      <c r="G72">
        <v>1</v>
      </c>
      <c r="H72">
        <v>0.5</v>
      </c>
      <c r="I72">
        <f t="shared" si="4"/>
        <v>0.66666666666666663</v>
      </c>
      <c r="J72">
        <v>1</v>
      </c>
      <c r="K72">
        <v>1</v>
      </c>
      <c r="L72">
        <v>604</v>
      </c>
      <c r="M72">
        <f t="shared" si="5"/>
        <v>1</v>
      </c>
    </row>
    <row r="73" spans="1:13">
      <c r="A73" t="s">
        <v>264</v>
      </c>
      <c r="B73" s="1" t="s">
        <v>46</v>
      </c>
      <c r="C73" t="s">
        <v>265</v>
      </c>
      <c r="D73" t="s">
        <v>46</v>
      </c>
      <c r="E73" t="s">
        <v>569</v>
      </c>
      <c r="F73" t="s">
        <v>531</v>
      </c>
      <c r="G73">
        <v>1</v>
      </c>
      <c r="H73">
        <v>1</v>
      </c>
      <c r="I73">
        <f t="shared" si="4"/>
        <v>1</v>
      </c>
      <c r="J73">
        <v>0.33300000000000002</v>
      </c>
      <c r="K73">
        <v>1</v>
      </c>
      <c r="L73">
        <v>690</v>
      </c>
      <c r="M73">
        <f t="shared" si="5"/>
        <v>0.5</v>
      </c>
    </row>
    <row r="74" spans="1:13">
      <c r="A74" t="s">
        <v>267</v>
      </c>
      <c r="B74" s="1" t="s">
        <v>19</v>
      </c>
      <c r="C74" t="s">
        <v>268</v>
      </c>
      <c r="D74" t="s">
        <v>3</v>
      </c>
      <c r="E74" t="s">
        <v>570</v>
      </c>
      <c r="F74" t="s">
        <v>222</v>
      </c>
      <c r="G74">
        <v>0</v>
      </c>
      <c r="H74">
        <v>0</v>
      </c>
      <c r="I74">
        <f t="shared" si="4"/>
        <v>0</v>
      </c>
      <c r="J74">
        <v>0.5</v>
      </c>
      <c r="K74">
        <v>0.33300000000000002</v>
      </c>
      <c r="L74">
        <v>538</v>
      </c>
      <c r="M74">
        <f t="shared" si="5"/>
        <v>0.4</v>
      </c>
    </row>
    <row r="75" spans="1:13">
      <c r="A75" t="s">
        <v>270</v>
      </c>
      <c r="B75" s="1" t="s">
        <v>271</v>
      </c>
      <c r="C75" t="s">
        <v>272</v>
      </c>
      <c r="D75" t="s">
        <v>571</v>
      </c>
      <c r="E75" t="s">
        <v>572</v>
      </c>
      <c r="F75" t="s">
        <v>11</v>
      </c>
      <c r="G75">
        <v>0.33300000000000002</v>
      </c>
      <c r="H75">
        <v>0.33300000000000002</v>
      </c>
      <c r="I75">
        <f t="shared" si="4"/>
        <v>0.33300000000000002</v>
      </c>
      <c r="J75">
        <v>0.75</v>
      </c>
      <c r="K75">
        <v>0.6</v>
      </c>
      <c r="L75">
        <v>709</v>
      </c>
      <c r="M75">
        <f t="shared" si="5"/>
        <v>0.66700000000000004</v>
      </c>
    </row>
    <row r="76" spans="1:13">
      <c r="A76" t="s">
        <v>275</v>
      </c>
      <c r="B76" s="1" t="s">
        <v>236</v>
      </c>
      <c r="C76" t="s">
        <v>237</v>
      </c>
      <c r="D76" t="s">
        <v>573</v>
      </c>
      <c r="E76" t="s">
        <v>118</v>
      </c>
      <c r="F76" t="s">
        <v>29</v>
      </c>
      <c r="G76">
        <v>0</v>
      </c>
      <c r="H76">
        <v>0</v>
      </c>
      <c r="I76">
        <f t="shared" si="4"/>
        <v>0</v>
      </c>
      <c r="J76">
        <v>0</v>
      </c>
      <c r="K76">
        <v>0</v>
      </c>
      <c r="L76">
        <v>582</v>
      </c>
      <c r="M76">
        <f t="shared" si="5"/>
        <v>0</v>
      </c>
    </row>
    <row r="77" spans="1:13">
      <c r="A77" t="s">
        <v>279</v>
      </c>
      <c r="B77" s="1" t="s">
        <v>54</v>
      </c>
      <c r="C77" t="s">
        <v>280</v>
      </c>
      <c r="D77" t="s">
        <v>54</v>
      </c>
      <c r="E77" t="s">
        <v>281</v>
      </c>
      <c r="F77" t="s">
        <v>29</v>
      </c>
      <c r="G77">
        <v>1</v>
      </c>
      <c r="H77">
        <v>1</v>
      </c>
      <c r="I77">
        <f t="shared" si="4"/>
        <v>1</v>
      </c>
      <c r="J77">
        <v>0.66700000000000004</v>
      </c>
      <c r="K77">
        <v>0.66700000000000004</v>
      </c>
      <c r="L77">
        <v>541</v>
      </c>
      <c r="M77">
        <f t="shared" si="5"/>
        <v>0.66700000000000004</v>
      </c>
    </row>
    <row r="78" spans="1:13">
      <c r="A78" t="s">
        <v>282</v>
      </c>
      <c r="B78" s="1" t="s">
        <v>283</v>
      </c>
      <c r="C78" t="s">
        <v>284</v>
      </c>
      <c r="D78" t="s">
        <v>361</v>
      </c>
      <c r="E78" t="s">
        <v>362</v>
      </c>
      <c r="F78" t="s">
        <v>531</v>
      </c>
      <c r="G78">
        <v>0</v>
      </c>
      <c r="H78">
        <v>0</v>
      </c>
      <c r="I78">
        <f t="shared" si="4"/>
        <v>0</v>
      </c>
      <c r="J78">
        <v>0</v>
      </c>
      <c r="K78">
        <v>0</v>
      </c>
      <c r="L78">
        <v>520</v>
      </c>
      <c r="M78">
        <f t="shared" si="5"/>
        <v>0</v>
      </c>
    </row>
    <row r="79" spans="1:13">
      <c r="A79" t="s">
        <v>287</v>
      </c>
      <c r="B79" s="1" t="s">
        <v>7</v>
      </c>
      <c r="C79" t="s">
        <v>288</v>
      </c>
      <c r="D79" t="s">
        <v>67</v>
      </c>
      <c r="E79" t="s">
        <v>10</v>
      </c>
      <c r="F79" t="s">
        <v>11</v>
      </c>
      <c r="G79">
        <v>1</v>
      </c>
      <c r="H79">
        <v>1</v>
      </c>
      <c r="I79">
        <f t="shared" si="4"/>
        <v>1</v>
      </c>
      <c r="J79">
        <v>0.66700000000000004</v>
      </c>
      <c r="K79">
        <v>0.5</v>
      </c>
      <c r="L79">
        <v>609</v>
      </c>
      <c r="M79">
        <f t="shared" si="5"/>
        <v>0.57199999999999995</v>
      </c>
    </row>
    <row r="80" spans="1:13">
      <c r="A80" t="s">
        <v>290</v>
      </c>
      <c r="B80" s="1" t="s">
        <v>291</v>
      </c>
      <c r="C80" t="s">
        <v>292</v>
      </c>
      <c r="D80" t="s">
        <v>9</v>
      </c>
      <c r="E80" t="s">
        <v>574</v>
      </c>
      <c r="F80" t="s">
        <v>11</v>
      </c>
      <c r="G80">
        <v>1</v>
      </c>
      <c r="H80">
        <v>0.5</v>
      </c>
      <c r="I80">
        <f t="shared" si="4"/>
        <v>0.66666666666666663</v>
      </c>
      <c r="J80">
        <v>0.66700000000000004</v>
      </c>
      <c r="K80">
        <v>0.5</v>
      </c>
      <c r="L80">
        <v>562</v>
      </c>
      <c r="M80">
        <f t="shared" si="5"/>
        <v>0.57199999999999995</v>
      </c>
    </row>
    <row r="81" spans="1:13">
      <c r="A81" s="3" t="s">
        <v>294</v>
      </c>
      <c r="B81" s="1" t="s">
        <v>295</v>
      </c>
      <c r="C81" t="s">
        <v>284</v>
      </c>
      <c r="D81" t="s">
        <v>417</v>
      </c>
      <c r="E81" t="s">
        <v>457</v>
      </c>
      <c r="F81" t="s">
        <v>531</v>
      </c>
      <c r="G81">
        <v>1</v>
      </c>
      <c r="H81">
        <v>1</v>
      </c>
      <c r="I81">
        <f t="shared" si="4"/>
        <v>1</v>
      </c>
      <c r="J81">
        <v>0.66700000000000004</v>
      </c>
      <c r="K81">
        <v>1</v>
      </c>
      <c r="L81">
        <v>658</v>
      </c>
      <c r="M81">
        <f t="shared" si="5"/>
        <v>0.8</v>
      </c>
    </row>
    <row r="82" spans="1:13">
      <c r="A82" t="s">
        <v>298</v>
      </c>
      <c r="B82" s="1" t="s">
        <v>299</v>
      </c>
      <c r="C82" t="s">
        <v>300</v>
      </c>
      <c r="D82" t="s">
        <v>27</v>
      </c>
      <c r="E82" t="s">
        <v>366</v>
      </c>
      <c r="F82" t="s">
        <v>29</v>
      </c>
      <c r="G82">
        <v>0.5</v>
      </c>
      <c r="H82">
        <v>0.5</v>
      </c>
      <c r="I82">
        <f t="shared" si="4"/>
        <v>0.5</v>
      </c>
      <c r="J82">
        <v>1</v>
      </c>
      <c r="K82">
        <v>0.75</v>
      </c>
      <c r="L82">
        <v>625</v>
      </c>
      <c r="M82">
        <f t="shared" si="5"/>
        <v>0.85699999999999998</v>
      </c>
    </row>
    <row r="83" spans="1:13">
      <c r="A83" t="s">
        <v>302</v>
      </c>
      <c r="B83" s="1" t="s">
        <v>303</v>
      </c>
      <c r="C83" t="s">
        <v>304</v>
      </c>
      <c r="D83" t="s">
        <v>263</v>
      </c>
      <c r="E83" t="s">
        <v>22</v>
      </c>
      <c r="F83" t="s">
        <v>23</v>
      </c>
      <c r="G83">
        <v>1</v>
      </c>
      <c r="H83">
        <v>0.33300000000000002</v>
      </c>
      <c r="I83">
        <f t="shared" si="4"/>
        <v>0.4996249062265567</v>
      </c>
      <c r="J83">
        <v>1</v>
      </c>
      <c r="K83">
        <v>0.33300000000000002</v>
      </c>
      <c r="L83">
        <v>600</v>
      </c>
      <c r="M83">
        <f t="shared" si="5"/>
        <v>0.5</v>
      </c>
    </row>
    <row r="84" spans="1:13">
      <c r="A84" t="s">
        <v>307</v>
      </c>
      <c r="B84" s="1" t="s">
        <v>183</v>
      </c>
      <c r="C84" t="s">
        <v>308</v>
      </c>
      <c r="D84" t="s">
        <v>385</v>
      </c>
      <c r="E84" t="s">
        <v>575</v>
      </c>
      <c r="G84">
        <v>0.5</v>
      </c>
      <c r="H84">
        <v>0.5</v>
      </c>
      <c r="I84">
        <f t="shared" si="4"/>
        <v>0.5</v>
      </c>
      <c r="J84">
        <v>0</v>
      </c>
      <c r="K84">
        <v>0</v>
      </c>
      <c r="L84">
        <v>630</v>
      </c>
      <c r="M84">
        <f t="shared" si="5"/>
        <v>0</v>
      </c>
    </row>
    <row r="85" spans="1:13">
      <c r="A85" t="s">
        <v>310</v>
      </c>
      <c r="B85" s="1" t="s">
        <v>19</v>
      </c>
      <c r="C85" t="s">
        <v>311</v>
      </c>
      <c r="D85" t="s">
        <v>453</v>
      </c>
      <c r="E85" t="s">
        <v>311</v>
      </c>
      <c r="F85" t="s">
        <v>23</v>
      </c>
      <c r="G85">
        <v>0.5</v>
      </c>
      <c r="H85">
        <v>0.5</v>
      </c>
      <c r="I85">
        <f t="shared" si="4"/>
        <v>0.5</v>
      </c>
      <c r="J85">
        <v>1</v>
      </c>
      <c r="K85">
        <v>1</v>
      </c>
      <c r="L85">
        <v>642</v>
      </c>
      <c r="M85">
        <f t="shared" si="5"/>
        <v>1</v>
      </c>
    </row>
    <row r="86" spans="1:13">
      <c r="A86" t="s">
        <v>313</v>
      </c>
      <c r="B86" s="1" t="s">
        <v>46</v>
      </c>
      <c r="C86" t="s">
        <v>314</v>
      </c>
      <c r="D86" t="s">
        <v>46</v>
      </c>
      <c r="E86" t="s">
        <v>525</v>
      </c>
      <c r="F86" t="s">
        <v>29</v>
      </c>
      <c r="G86">
        <v>1</v>
      </c>
      <c r="H86">
        <v>1</v>
      </c>
      <c r="I86">
        <f t="shared" si="4"/>
        <v>1</v>
      </c>
      <c r="J86">
        <v>0.66700000000000004</v>
      </c>
      <c r="K86">
        <v>0.4</v>
      </c>
      <c r="L86">
        <v>712</v>
      </c>
      <c r="M86">
        <f t="shared" si="5"/>
        <v>0.5</v>
      </c>
    </row>
    <row r="87" spans="1:13">
      <c r="A87" t="s">
        <v>316</v>
      </c>
      <c r="B87" s="1" t="s">
        <v>19</v>
      </c>
      <c r="C87" t="s">
        <v>317</v>
      </c>
      <c r="D87" t="s">
        <v>54</v>
      </c>
      <c r="E87" t="s">
        <v>513</v>
      </c>
      <c r="F87" t="s">
        <v>222</v>
      </c>
      <c r="G87">
        <v>0</v>
      </c>
      <c r="H87">
        <v>0</v>
      </c>
      <c r="I87">
        <f t="shared" si="4"/>
        <v>0</v>
      </c>
      <c r="J87">
        <v>1</v>
      </c>
      <c r="K87">
        <v>0.5</v>
      </c>
      <c r="L87">
        <v>558</v>
      </c>
      <c r="M87">
        <f t="shared" si="5"/>
        <v>0.66700000000000004</v>
      </c>
    </row>
    <row r="88" spans="1:13">
      <c r="A88" t="s">
        <v>319</v>
      </c>
      <c r="B88" s="1" t="s">
        <v>320</v>
      </c>
      <c r="C88" t="s">
        <v>321</v>
      </c>
      <c r="D88" t="s">
        <v>153</v>
      </c>
      <c r="E88" t="s">
        <v>576</v>
      </c>
      <c r="F88" t="s">
        <v>531</v>
      </c>
      <c r="G88">
        <v>0.5</v>
      </c>
      <c r="H88">
        <v>0.33300000000000002</v>
      </c>
      <c r="I88">
        <f t="shared" si="4"/>
        <v>0.39975990396158467</v>
      </c>
      <c r="J88">
        <v>0.66700000000000004</v>
      </c>
      <c r="K88">
        <v>0.66700000000000004</v>
      </c>
      <c r="L88">
        <v>625</v>
      </c>
      <c r="M88">
        <f t="shared" si="5"/>
        <v>0.66700000000000004</v>
      </c>
    </row>
    <row r="89" spans="1:13">
      <c r="A89" t="s">
        <v>323</v>
      </c>
      <c r="B89" s="1" t="s">
        <v>37</v>
      </c>
      <c r="C89" t="s">
        <v>324</v>
      </c>
      <c r="D89" t="s">
        <v>37</v>
      </c>
      <c r="E89" t="s">
        <v>391</v>
      </c>
      <c r="F89" t="s">
        <v>83</v>
      </c>
      <c r="G89">
        <v>1</v>
      </c>
      <c r="H89">
        <v>1</v>
      </c>
      <c r="I89">
        <f t="shared" si="4"/>
        <v>1</v>
      </c>
      <c r="J89">
        <v>0.5</v>
      </c>
      <c r="K89">
        <v>1</v>
      </c>
      <c r="L89">
        <v>545</v>
      </c>
      <c r="M89">
        <f t="shared" si="5"/>
        <v>0.66700000000000004</v>
      </c>
    </row>
    <row r="90" spans="1:13">
      <c r="A90" t="s">
        <v>267</v>
      </c>
      <c r="B90" s="1" t="s">
        <v>19</v>
      </c>
      <c r="C90" t="s">
        <v>268</v>
      </c>
      <c r="D90" t="s">
        <v>3</v>
      </c>
      <c r="E90" t="s">
        <v>393</v>
      </c>
      <c r="F90" t="s">
        <v>222</v>
      </c>
      <c r="G90">
        <v>0</v>
      </c>
      <c r="H90">
        <v>0</v>
      </c>
      <c r="I90">
        <f t="shared" si="4"/>
        <v>0</v>
      </c>
      <c r="J90">
        <v>1</v>
      </c>
      <c r="K90">
        <v>0.33300000000000002</v>
      </c>
      <c r="L90">
        <v>535</v>
      </c>
      <c r="M90">
        <f t="shared" si="5"/>
        <v>0.5</v>
      </c>
    </row>
    <row r="91" spans="1:13">
      <c r="A91" t="s">
        <v>326</v>
      </c>
      <c r="B91" s="1" t="s">
        <v>183</v>
      </c>
      <c r="C91" t="s">
        <v>327</v>
      </c>
      <c r="D91" t="s">
        <v>277</v>
      </c>
      <c r="E91" t="s">
        <v>500</v>
      </c>
      <c r="G91">
        <v>1</v>
      </c>
      <c r="H91">
        <v>0.5</v>
      </c>
      <c r="I91">
        <f t="shared" si="4"/>
        <v>0.66666666666666663</v>
      </c>
      <c r="J91">
        <v>0</v>
      </c>
      <c r="K91">
        <v>0</v>
      </c>
      <c r="L91">
        <v>525</v>
      </c>
      <c r="M91">
        <f t="shared" si="5"/>
        <v>0</v>
      </c>
    </row>
    <row r="92" spans="1:13">
      <c r="A92" t="s">
        <v>329</v>
      </c>
      <c r="B92" s="1" t="s">
        <v>13</v>
      </c>
      <c r="C92" t="s">
        <v>330</v>
      </c>
      <c r="D92" t="s">
        <v>3</v>
      </c>
      <c r="E92" t="s">
        <v>97</v>
      </c>
      <c r="F92" t="s">
        <v>35</v>
      </c>
      <c r="G92">
        <v>0</v>
      </c>
      <c r="H92">
        <v>0</v>
      </c>
      <c r="I92">
        <f t="shared" si="4"/>
        <v>0</v>
      </c>
      <c r="J92">
        <v>0</v>
      </c>
      <c r="K92">
        <v>0</v>
      </c>
      <c r="L92">
        <v>513</v>
      </c>
      <c r="M92">
        <f t="shared" si="5"/>
        <v>0</v>
      </c>
    </row>
    <row r="93" spans="1:13">
      <c r="A93" t="s">
        <v>332</v>
      </c>
      <c r="B93" s="1" t="s">
        <v>37</v>
      </c>
      <c r="C93" t="s">
        <v>324</v>
      </c>
      <c r="D93" t="s">
        <v>37</v>
      </c>
      <c r="E93" t="s">
        <v>577</v>
      </c>
      <c r="F93" t="s">
        <v>83</v>
      </c>
      <c r="G93">
        <v>1</v>
      </c>
      <c r="H93">
        <v>1</v>
      </c>
      <c r="I93">
        <f t="shared" si="4"/>
        <v>1</v>
      </c>
      <c r="J93">
        <v>0.4</v>
      </c>
      <c r="K93">
        <v>1</v>
      </c>
      <c r="L93">
        <v>550</v>
      </c>
      <c r="M93">
        <f t="shared" si="5"/>
        <v>0.57099999999999995</v>
      </c>
    </row>
    <row r="94" spans="1:13">
      <c r="A94" t="s">
        <v>334</v>
      </c>
      <c r="B94" s="1" t="s">
        <v>61</v>
      </c>
      <c r="C94" t="s">
        <v>221</v>
      </c>
      <c r="D94" t="s">
        <v>263</v>
      </c>
      <c r="E94" t="s">
        <v>221</v>
      </c>
      <c r="F94" t="s">
        <v>222</v>
      </c>
      <c r="G94">
        <v>0</v>
      </c>
      <c r="H94">
        <v>0</v>
      </c>
      <c r="I94">
        <f t="shared" si="4"/>
        <v>0</v>
      </c>
      <c r="J94">
        <v>1</v>
      </c>
      <c r="K94">
        <v>1</v>
      </c>
      <c r="L94">
        <v>595</v>
      </c>
      <c r="M94">
        <f t="shared" si="5"/>
        <v>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4"/>
  <sheetViews>
    <sheetView tabSelected="1" topLeftCell="B1" zoomScale="70" zoomScaleNormal="70" workbookViewId="0">
      <selection activeCell="O19" sqref="O19"/>
    </sheetView>
  </sheetViews>
  <sheetFormatPr defaultRowHeight="18"/>
  <cols>
    <col min="1" max="1" width="86.08203125" customWidth="1"/>
    <col min="2" max="2" width="12.6640625" customWidth="1"/>
    <col min="3" max="3" width="11.4140625" customWidth="1"/>
    <col min="4" max="4" width="13.5" customWidth="1"/>
    <col min="5" max="5" width="38.1640625" customWidth="1"/>
    <col min="7" max="7" width="11.08203125" customWidth="1"/>
    <col min="8" max="8" width="10.9140625" customWidth="1"/>
    <col min="12" max="12" width="16.5" customWidth="1"/>
    <col min="13" max="13" width="19.1640625" customWidth="1"/>
    <col min="14" max="14" width="17.4140625" customWidth="1"/>
    <col min="15" max="15" width="11.08203125" customWidth="1"/>
  </cols>
  <sheetData>
    <row r="1" spans="1:16" s="5" customFormat="1">
      <c r="A1" s="5" t="s">
        <v>634</v>
      </c>
      <c r="B1" s="5" t="s">
        <v>647</v>
      </c>
      <c r="C1" s="5" t="s">
        <v>635</v>
      </c>
      <c r="D1" s="5" t="s">
        <v>648</v>
      </c>
      <c r="E1" s="5" t="s">
        <v>636</v>
      </c>
      <c r="F1" s="5" t="s">
        <v>637</v>
      </c>
      <c r="G1" s="5" t="s">
        <v>649</v>
      </c>
      <c r="H1" s="5" t="s">
        <v>650</v>
      </c>
      <c r="I1" s="5" t="s">
        <v>651</v>
      </c>
      <c r="J1" s="5" t="s">
        <v>638</v>
      </c>
      <c r="K1" s="5" t="s">
        <v>639</v>
      </c>
      <c r="L1" s="5" t="s">
        <v>640</v>
      </c>
      <c r="M1" s="5" t="s">
        <v>641</v>
      </c>
      <c r="N1" s="5" t="s">
        <v>642</v>
      </c>
      <c r="O1" s="5" t="s">
        <v>643</v>
      </c>
      <c r="P1" s="6" t="s">
        <v>644</v>
      </c>
    </row>
    <row r="2" spans="1:16">
      <c r="A2" t="s">
        <v>0</v>
      </c>
      <c r="B2" s="1" t="s">
        <v>1</v>
      </c>
      <c r="C2" t="s">
        <v>2</v>
      </c>
      <c r="D2" t="s">
        <v>578</v>
      </c>
      <c r="E2" t="s">
        <v>579</v>
      </c>
      <c r="F2" t="s">
        <v>222</v>
      </c>
      <c r="G2">
        <v>0</v>
      </c>
      <c r="H2">
        <v>0</v>
      </c>
      <c r="I2">
        <f t="shared" ref="I2:I33" si="0">IF(G2+H2=0,0,2*G2*H2/(G2+H2))</f>
        <v>0</v>
      </c>
      <c r="J2">
        <v>0.5</v>
      </c>
      <c r="K2">
        <v>0.33300000000000002</v>
      </c>
      <c r="L2">
        <v>388</v>
      </c>
      <c r="M2">
        <f t="shared" ref="M2:M33" si="1">IF(J2+K2=0,0,ROUND(2*J2*K2/(J2+K2),3))</f>
        <v>0.4</v>
      </c>
      <c r="N2" s="2">
        <f>ROUND(AVERAGE(J2:J94),3)</f>
        <v>0.56499999999999995</v>
      </c>
      <c r="O2" s="2">
        <f>ROUND(AVERAGE(K2:K94),3)</f>
        <v>0.56699999999999995</v>
      </c>
      <c r="P2" s="2">
        <f>SUM(M2:M94)/93</f>
        <v>0.53062365591397853</v>
      </c>
    </row>
    <row r="3" spans="1:16" ht="18" customHeight="1">
      <c r="A3" t="s">
        <v>6</v>
      </c>
      <c r="B3" s="1" t="s">
        <v>7</v>
      </c>
      <c r="C3" t="s">
        <v>8</v>
      </c>
      <c r="D3" t="s">
        <v>9</v>
      </c>
      <c r="E3" t="s">
        <v>10</v>
      </c>
      <c r="F3" t="s">
        <v>374</v>
      </c>
      <c r="G3">
        <v>1</v>
      </c>
      <c r="H3">
        <v>0.5</v>
      </c>
      <c r="I3">
        <f t="shared" si="0"/>
        <v>0.66666666666666663</v>
      </c>
      <c r="J3">
        <v>0.66700000000000004</v>
      </c>
      <c r="K3">
        <v>0.4</v>
      </c>
      <c r="L3">
        <v>417</v>
      </c>
      <c r="M3">
        <f t="shared" si="1"/>
        <v>0.5</v>
      </c>
      <c r="P3" s="2"/>
    </row>
    <row r="4" spans="1:16">
      <c r="A4" t="s">
        <v>12</v>
      </c>
      <c r="B4" s="1" t="s">
        <v>13</v>
      </c>
      <c r="C4" t="s">
        <v>14</v>
      </c>
      <c r="D4" t="s">
        <v>398</v>
      </c>
      <c r="E4" t="s">
        <v>580</v>
      </c>
      <c r="F4" t="s">
        <v>351</v>
      </c>
      <c r="G4">
        <v>0</v>
      </c>
      <c r="H4">
        <v>0</v>
      </c>
      <c r="I4">
        <f t="shared" si="0"/>
        <v>0</v>
      </c>
      <c r="J4">
        <v>0.5</v>
      </c>
      <c r="K4">
        <v>0.33300000000000002</v>
      </c>
      <c r="L4">
        <v>369</v>
      </c>
      <c r="M4">
        <f t="shared" si="1"/>
        <v>0.4</v>
      </c>
      <c r="N4" t="s">
        <v>652</v>
      </c>
      <c r="O4" t="s">
        <v>653</v>
      </c>
      <c r="P4" s="2" t="s">
        <v>654</v>
      </c>
    </row>
    <row r="5" spans="1:16">
      <c r="A5" t="s">
        <v>18</v>
      </c>
      <c r="B5" s="1" t="s">
        <v>19</v>
      </c>
      <c r="C5" t="s">
        <v>20</v>
      </c>
      <c r="D5" t="s">
        <v>263</v>
      </c>
      <c r="E5" t="s">
        <v>22</v>
      </c>
      <c r="F5" t="s">
        <v>23</v>
      </c>
      <c r="G5">
        <v>1</v>
      </c>
      <c r="H5">
        <v>0.5</v>
      </c>
      <c r="I5">
        <f t="shared" si="0"/>
        <v>0.66666666666666663</v>
      </c>
      <c r="J5">
        <v>1</v>
      </c>
      <c r="K5">
        <v>0.5</v>
      </c>
      <c r="L5">
        <v>470</v>
      </c>
      <c r="M5">
        <f t="shared" si="1"/>
        <v>0.66700000000000004</v>
      </c>
      <c r="N5" s="2">
        <f>ROUND(AVERAGE(G2:G94),3)</f>
        <v>0.60799999999999998</v>
      </c>
      <c r="O5" s="2">
        <f>ROUND(AVERAGE(H2:H94),3)</f>
        <v>0.44600000000000001</v>
      </c>
      <c r="P5" s="2">
        <f>ROUND(AVERAGE(I2:I94),3)</f>
        <v>0.48899999999999999</v>
      </c>
    </row>
    <row r="6" spans="1:16">
      <c r="A6" t="s">
        <v>24</v>
      </c>
      <c r="B6" s="1" t="s">
        <v>25</v>
      </c>
      <c r="C6" t="s">
        <v>26</v>
      </c>
      <c r="D6" t="s">
        <v>25</v>
      </c>
      <c r="E6" t="s">
        <v>340</v>
      </c>
      <c r="F6" t="s">
        <v>341</v>
      </c>
      <c r="G6">
        <v>1</v>
      </c>
      <c r="H6">
        <v>1</v>
      </c>
      <c r="I6">
        <f t="shared" si="0"/>
        <v>1</v>
      </c>
      <c r="J6">
        <v>0.8</v>
      </c>
      <c r="K6">
        <v>1</v>
      </c>
      <c r="L6">
        <v>414</v>
      </c>
      <c r="M6">
        <f t="shared" si="1"/>
        <v>0.88900000000000001</v>
      </c>
      <c r="O6" t="s">
        <v>645</v>
      </c>
    </row>
    <row r="7" spans="1:16">
      <c r="A7" t="s">
        <v>30</v>
      </c>
      <c r="B7" s="1" t="s">
        <v>31</v>
      </c>
      <c r="C7" t="s">
        <v>32</v>
      </c>
      <c r="D7" t="s">
        <v>398</v>
      </c>
      <c r="E7" t="s">
        <v>581</v>
      </c>
      <c r="F7" t="s">
        <v>351</v>
      </c>
      <c r="G7">
        <v>0</v>
      </c>
      <c r="H7">
        <v>0</v>
      </c>
      <c r="I7">
        <f t="shared" si="0"/>
        <v>0</v>
      </c>
      <c r="J7">
        <v>0.5</v>
      </c>
      <c r="K7">
        <v>0.2</v>
      </c>
      <c r="L7">
        <v>369</v>
      </c>
      <c r="M7">
        <f t="shared" si="1"/>
        <v>0.28599999999999998</v>
      </c>
      <c r="O7" s="4">
        <f>AVERAGE(L2:L94)</f>
        <v>446.30107526881721</v>
      </c>
    </row>
    <row r="8" spans="1:16">
      <c r="A8" t="s">
        <v>36</v>
      </c>
      <c r="B8" s="1" t="s">
        <v>37</v>
      </c>
      <c r="C8" t="s">
        <v>38</v>
      </c>
      <c r="D8" t="s">
        <v>37</v>
      </c>
      <c r="E8" t="s">
        <v>582</v>
      </c>
      <c r="F8" t="s">
        <v>341</v>
      </c>
      <c r="G8">
        <v>1</v>
      </c>
      <c r="H8">
        <v>1</v>
      </c>
      <c r="I8">
        <f t="shared" si="0"/>
        <v>1</v>
      </c>
      <c r="J8">
        <v>0.25</v>
      </c>
      <c r="K8">
        <v>0.5</v>
      </c>
      <c r="L8">
        <v>419</v>
      </c>
      <c r="M8">
        <f t="shared" si="1"/>
        <v>0.33300000000000002</v>
      </c>
      <c r="O8" t="s">
        <v>646</v>
      </c>
    </row>
    <row r="9" spans="1:16">
      <c r="A9" t="s">
        <v>40</v>
      </c>
      <c r="B9" s="1" t="s">
        <v>41</v>
      </c>
      <c r="C9" t="s">
        <v>34</v>
      </c>
      <c r="D9" t="s">
        <v>343</v>
      </c>
      <c r="E9" t="s">
        <v>43</v>
      </c>
      <c r="F9" t="s">
        <v>392</v>
      </c>
      <c r="G9">
        <v>1</v>
      </c>
      <c r="H9">
        <v>0.33300000000000002</v>
      </c>
      <c r="I9">
        <f t="shared" si="0"/>
        <v>0.4996249062265567</v>
      </c>
      <c r="J9">
        <v>0.5</v>
      </c>
      <c r="K9">
        <v>1</v>
      </c>
      <c r="L9">
        <v>418</v>
      </c>
      <c r="M9">
        <f t="shared" si="1"/>
        <v>0.66700000000000004</v>
      </c>
      <c r="O9" s="2">
        <f>_xlfn.STDEV.P(L2:L94)</f>
        <v>49.841638451950793</v>
      </c>
    </row>
    <row r="10" spans="1:16">
      <c r="A10" t="s">
        <v>45</v>
      </c>
      <c r="B10" s="1" t="s">
        <v>46</v>
      </c>
      <c r="C10" t="s">
        <v>47</v>
      </c>
      <c r="D10" t="s">
        <v>61</v>
      </c>
      <c r="E10" t="s">
        <v>47</v>
      </c>
      <c r="F10" t="s">
        <v>583</v>
      </c>
      <c r="G10">
        <v>1</v>
      </c>
      <c r="H10">
        <v>0.5</v>
      </c>
      <c r="I10">
        <f t="shared" si="0"/>
        <v>0.66666666666666663</v>
      </c>
      <c r="J10">
        <v>1</v>
      </c>
      <c r="K10">
        <v>1</v>
      </c>
      <c r="L10">
        <v>453</v>
      </c>
      <c r="M10">
        <f t="shared" si="1"/>
        <v>1</v>
      </c>
    </row>
    <row r="11" spans="1:16">
      <c r="A11" t="s">
        <v>51</v>
      </c>
      <c r="B11" s="1" t="s">
        <v>52</v>
      </c>
      <c r="C11" t="s">
        <v>53</v>
      </c>
      <c r="D11" t="s">
        <v>54</v>
      </c>
      <c r="E11" t="s">
        <v>470</v>
      </c>
      <c r="F11" t="s">
        <v>222</v>
      </c>
      <c r="G11">
        <v>1</v>
      </c>
      <c r="H11">
        <v>0.5</v>
      </c>
      <c r="I11">
        <f t="shared" si="0"/>
        <v>0.66666666666666663</v>
      </c>
      <c r="J11">
        <v>1</v>
      </c>
      <c r="K11">
        <v>0.33300000000000002</v>
      </c>
      <c r="L11">
        <v>396</v>
      </c>
      <c r="M11">
        <f t="shared" si="1"/>
        <v>0.5</v>
      </c>
    </row>
    <row r="12" spans="1:16">
      <c r="A12" t="s">
        <v>56</v>
      </c>
      <c r="B12" s="1" t="s">
        <v>46</v>
      </c>
      <c r="C12" t="s">
        <v>47</v>
      </c>
      <c r="D12" t="s">
        <v>61</v>
      </c>
      <c r="E12" t="s">
        <v>584</v>
      </c>
      <c r="F12" t="s">
        <v>585</v>
      </c>
      <c r="G12">
        <v>1</v>
      </c>
      <c r="H12">
        <v>0.5</v>
      </c>
      <c r="I12">
        <f t="shared" si="0"/>
        <v>0.66666666666666663</v>
      </c>
      <c r="J12">
        <v>0.5</v>
      </c>
      <c r="K12">
        <v>1</v>
      </c>
      <c r="L12">
        <v>460</v>
      </c>
      <c r="M12">
        <f t="shared" si="1"/>
        <v>0.66700000000000004</v>
      </c>
    </row>
    <row r="13" spans="1:16">
      <c r="A13" t="s">
        <v>59</v>
      </c>
      <c r="B13" s="1" t="s">
        <v>19</v>
      </c>
      <c r="C13" t="s">
        <v>60</v>
      </c>
      <c r="D13" t="s">
        <v>61</v>
      </c>
      <c r="E13" t="s">
        <v>586</v>
      </c>
      <c r="F13" t="s">
        <v>587</v>
      </c>
      <c r="G13">
        <v>1</v>
      </c>
      <c r="H13">
        <v>0.5</v>
      </c>
      <c r="I13">
        <f t="shared" si="0"/>
        <v>0.66666666666666663</v>
      </c>
      <c r="J13">
        <v>0.2</v>
      </c>
      <c r="K13">
        <v>0.5</v>
      </c>
      <c r="L13">
        <v>462</v>
      </c>
      <c r="M13">
        <f t="shared" si="1"/>
        <v>0.28599999999999998</v>
      </c>
    </row>
    <row r="14" spans="1:16">
      <c r="A14" t="s">
        <v>63</v>
      </c>
      <c r="B14" s="1" t="s">
        <v>61</v>
      </c>
      <c r="C14" t="s">
        <v>64</v>
      </c>
      <c r="D14" t="s">
        <v>61</v>
      </c>
      <c r="E14" t="s">
        <v>588</v>
      </c>
      <c r="F14" t="s">
        <v>585</v>
      </c>
      <c r="G14">
        <v>1</v>
      </c>
      <c r="H14">
        <v>1</v>
      </c>
      <c r="I14">
        <f t="shared" si="0"/>
        <v>1</v>
      </c>
      <c r="J14">
        <v>0.4</v>
      </c>
      <c r="K14">
        <v>0.4</v>
      </c>
      <c r="L14">
        <v>462</v>
      </c>
      <c r="M14">
        <f t="shared" si="1"/>
        <v>0.4</v>
      </c>
    </row>
    <row r="15" spans="1:16">
      <c r="A15" t="s">
        <v>66</v>
      </c>
      <c r="B15" s="1" t="s">
        <v>67</v>
      </c>
      <c r="C15" t="s">
        <v>8</v>
      </c>
      <c r="D15" t="s">
        <v>9</v>
      </c>
      <c r="E15" t="s">
        <v>163</v>
      </c>
      <c r="F15" t="s">
        <v>374</v>
      </c>
      <c r="G15">
        <v>1</v>
      </c>
      <c r="H15">
        <v>0.5</v>
      </c>
      <c r="I15">
        <f t="shared" si="0"/>
        <v>0.66666666666666663</v>
      </c>
      <c r="J15">
        <v>0.66700000000000004</v>
      </c>
      <c r="K15">
        <v>0.4</v>
      </c>
      <c r="L15">
        <v>417</v>
      </c>
      <c r="M15">
        <f t="shared" si="1"/>
        <v>0.5</v>
      </c>
    </row>
    <row r="16" spans="1:16">
      <c r="A16" t="s">
        <v>70</v>
      </c>
      <c r="B16" s="1" t="s">
        <v>71</v>
      </c>
      <c r="C16" t="s">
        <v>72</v>
      </c>
      <c r="D16" t="s">
        <v>475</v>
      </c>
      <c r="E16" t="s">
        <v>476</v>
      </c>
      <c r="F16" t="s">
        <v>374</v>
      </c>
      <c r="G16">
        <v>0.5</v>
      </c>
      <c r="H16">
        <v>1</v>
      </c>
      <c r="I16">
        <f t="shared" si="0"/>
        <v>0.66666666666666663</v>
      </c>
      <c r="J16">
        <v>1</v>
      </c>
      <c r="K16">
        <v>0.16700000000000001</v>
      </c>
      <c r="L16">
        <v>488</v>
      </c>
      <c r="M16">
        <f t="shared" si="1"/>
        <v>0.28599999999999998</v>
      </c>
    </row>
    <row r="17" spans="1:13">
      <c r="A17" t="s">
        <v>75</v>
      </c>
      <c r="B17" s="1" t="s">
        <v>19</v>
      </c>
      <c r="C17" t="s">
        <v>76</v>
      </c>
      <c r="D17" t="s">
        <v>167</v>
      </c>
      <c r="E17" t="s">
        <v>589</v>
      </c>
      <c r="F17" t="s">
        <v>23</v>
      </c>
      <c r="G17">
        <v>0.5</v>
      </c>
      <c r="H17">
        <v>0.5</v>
      </c>
      <c r="I17">
        <f t="shared" si="0"/>
        <v>0.5</v>
      </c>
      <c r="J17">
        <v>0.66700000000000004</v>
      </c>
      <c r="K17">
        <v>0.57099999999999995</v>
      </c>
      <c r="L17">
        <v>492</v>
      </c>
      <c r="M17">
        <f t="shared" si="1"/>
        <v>0.61499999999999999</v>
      </c>
    </row>
    <row r="18" spans="1:13">
      <c r="A18" t="s">
        <v>79</v>
      </c>
      <c r="B18" s="1" t="s">
        <v>19</v>
      </c>
      <c r="C18" t="s">
        <v>80</v>
      </c>
      <c r="D18" t="s">
        <v>113</v>
      </c>
      <c r="E18" t="s">
        <v>590</v>
      </c>
      <c r="F18" t="s">
        <v>585</v>
      </c>
      <c r="G18">
        <v>0</v>
      </c>
      <c r="H18">
        <v>0</v>
      </c>
      <c r="I18">
        <f t="shared" si="0"/>
        <v>0</v>
      </c>
      <c r="J18">
        <v>0.33300000000000002</v>
      </c>
      <c r="K18">
        <v>0.5</v>
      </c>
      <c r="L18">
        <v>436</v>
      </c>
      <c r="M18">
        <f t="shared" si="1"/>
        <v>0.4</v>
      </c>
    </row>
    <row r="19" spans="1:13">
      <c r="A19" t="s">
        <v>84</v>
      </c>
      <c r="B19" s="1" t="s">
        <v>85</v>
      </c>
      <c r="C19" t="s">
        <v>86</v>
      </c>
      <c r="D19" t="s">
        <v>479</v>
      </c>
      <c r="E19" t="s">
        <v>591</v>
      </c>
      <c r="F19" t="s">
        <v>585</v>
      </c>
      <c r="G19">
        <v>0.66700000000000004</v>
      </c>
      <c r="H19">
        <v>0.66700000000000004</v>
      </c>
      <c r="I19">
        <f t="shared" si="0"/>
        <v>0.66700000000000004</v>
      </c>
      <c r="J19">
        <v>0.66700000000000004</v>
      </c>
      <c r="K19">
        <v>1</v>
      </c>
      <c r="L19">
        <v>525</v>
      </c>
      <c r="M19">
        <f t="shared" si="1"/>
        <v>0.8</v>
      </c>
    </row>
    <row r="20" spans="1:13">
      <c r="A20" t="s">
        <v>88</v>
      </c>
      <c r="B20" s="1" t="s">
        <v>655</v>
      </c>
      <c r="C20" t="s">
        <v>38</v>
      </c>
      <c r="D20" t="s">
        <v>37</v>
      </c>
      <c r="E20" t="s">
        <v>89</v>
      </c>
      <c r="F20" t="s">
        <v>351</v>
      </c>
      <c r="G20">
        <v>1</v>
      </c>
      <c r="H20">
        <v>0.5</v>
      </c>
      <c r="I20">
        <f t="shared" si="0"/>
        <v>0.66666666666666663</v>
      </c>
      <c r="J20">
        <v>0.5</v>
      </c>
      <c r="K20">
        <v>0.5</v>
      </c>
      <c r="L20">
        <v>402</v>
      </c>
      <c r="M20">
        <f t="shared" si="1"/>
        <v>0.5</v>
      </c>
    </row>
    <row r="21" spans="1:13">
      <c r="A21" t="s">
        <v>90</v>
      </c>
      <c r="B21" s="1" t="s">
        <v>91</v>
      </c>
      <c r="C21" t="s">
        <v>92</v>
      </c>
      <c r="D21" t="s">
        <v>91</v>
      </c>
      <c r="E21" t="s">
        <v>482</v>
      </c>
      <c r="F21" t="s">
        <v>392</v>
      </c>
      <c r="G21">
        <v>1</v>
      </c>
      <c r="H21">
        <v>1</v>
      </c>
      <c r="I21">
        <f t="shared" si="0"/>
        <v>1</v>
      </c>
      <c r="J21">
        <v>1</v>
      </c>
      <c r="K21">
        <v>1</v>
      </c>
      <c r="L21">
        <v>409</v>
      </c>
      <c r="M21">
        <f t="shared" si="1"/>
        <v>1</v>
      </c>
    </row>
    <row r="22" spans="1:13">
      <c r="A22" t="s">
        <v>94</v>
      </c>
      <c r="B22" s="1" t="s">
        <v>95</v>
      </c>
      <c r="C22" t="s">
        <v>96</v>
      </c>
      <c r="D22" t="s">
        <v>13</v>
      </c>
      <c r="E22" t="s">
        <v>592</v>
      </c>
      <c r="F22" t="s">
        <v>351</v>
      </c>
      <c r="G22">
        <v>1</v>
      </c>
      <c r="H22">
        <v>0.33300000000000002</v>
      </c>
      <c r="I22">
        <f t="shared" si="0"/>
        <v>0.4996249062265567</v>
      </c>
      <c r="J22">
        <v>1</v>
      </c>
      <c r="K22">
        <v>0.75</v>
      </c>
      <c r="L22">
        <v>431</v>
      </c>
      <c r="M22">
        <f t="shared" si="1"/>
        <v>0.85699999999999998</v>
      </c>
    </row>
    <row r="23" spans="1:13">
      <c r="A23" t="s">
        <v>98</v>
      </c>
      <c r="B23" s="1" t="s">
        <v>61</v>
      </c>
      <c r="C23" t="s">
        <v>99</v>
      </c>
      <c r="D23" t="s">
        <v>296</v>
      </c>
      <c r="E23" t="s">
        <v>593</v>
      </c>
      <c r="F23" t="s">
        <v>583</v>
      </c>
      <c r="G23">
        <v>0</v>
      </c>
      <c r="H23">
        <v>0</v>
      </c>
      <c r="I23">
        <f t="shared" si="0"/>
        <v>0</v>
      </c>
      <c r="J23">
        <v>0</v>
      </c>
      <c r="K23">
        <v>0</v>
      </c>
      <c r="L23">
        <v>504</v>
      </c>
      <c r="M23">
        <f t="shared" si="1"/>
        <v>0</v>
      </c>
    </row>
    <row r="24" spans="1:13">
      <c r="A24" t="s">
        <v>102</v>
      </c>
      <c r="B24" s="1" t="s">
        <v>19</v>
      </c>
      <c r="C24" t="s">
        <v>103</v>
      </c>
      <c r="D24" t="s">
        <v>21</v>
      </c>
      <c r="E24" t="s">
        <v>594</v>
      </c>
      <c r="F24" t="s">
        <v>595</v>
      </c>
      <c r="G24">
        <v>0</v>
      </c>
      <c r="H24">
        <v>0</v>
      </c>
      <c r="I24">
        <f t="shared" si="0"/>
        <v>0</v>
      </c>
      <c r="J24">
        <v>0.4</v>
      </c>
      <c r="K24">
        <v>0.5</v>
      </c>
      <c r="L24">
        <v>460</v>
      </c>
      <c r="M24">
        <f t="shared" si="1"/>
        <v>0.44400000000000001</v>
      </c>
    </row>
    <row r="25" spans="1:13">
      <c r="A25" t="s">
        <v>105</v>
      </c>
      <c r="B25" s="1" t="s">
        <v>106</v>
      </c>
      <c r="C25" t="s">
        <v>107</v>
      </c>
      <c r="D25" t="s">
        <v>77</v>
      </c>
      <c r="E25" t="s">
        <v>596</v>
      </c>
      <c r="F25" t="s">
        <v>23</v>
      </c>
      <c r="G25">
        <v>0.66700000000000004</v>
      </c>
      <c r="H25">
        <v>0.66700000000000004</v>
      </c>
      <c r="I25">
        <f t="shared" si="0"/>
        <v>0.66700000000000004</v>
      </c>
      <c r="J25">
        <v>1</v>
      </c>
      <c r="K25">
        <v>0.66700000000000004</v>
      </c>
      <c r="L25">
        <v>550</v>
      </c>
      <c r="M25">
        <f t="shared" si="1"/>
        <v>0.8</v>
      </c>
    </row>
    <row r="26" spans="1:13">
      <c r="A26" t="s">
        <v>110</v>
      </c>
      <c r="B26" s="1" t="s">
        <v>19</v>
      </c>
      <c r="C26" t="s">
        <v>47</v>
      </c>
      <c r="D26" t="s">
        <v>48</v>
      </c>
      <c r="E26" t="s">
        <v>485</v>
      </c>
      <c r="F26" t="s">
        <v>585</v>
      </c>
      <c r="G26">
        <v>0.5</v>
      </c>
      <c r="H26">
        <v>0.5</v>
      </c>
      <c r="I26">
        <f t="shared" si="0"/>
        <v>0.5</v>
      </c>
      <c r="J26">
        <v>0.5</v>
      </c>
      <c r="K26">
        <v>1</v>
      </c>
      <c r="L26">
        <v>523</v>
      </c>
      <c r="M26">
        <f t="shared" si="1"/>
        <v>0.66700000000000004</v>
      </c>
    </row>
    <row r="27" spans="1:13">
      <c r="A27" t="s">
        <v>112</v>
      </c>
      <c r="B27" s="1" t="s">
        <v>113</v>
      </c>
      <c r="C27" t="s">
        <v>114</v>
      </c>
      <c r="D27" t="s">
        <v>597</v>
      </c>
      <c r="E27" t="s">
        <v>486</v>
      </c>
      <c r="F27" t="s">
        <v>585</v>
      </c>
      <c r="G27">
        <v>0.5</v>
      </c>
      <c r="H27">
        <v>1</v>
      </c>
      <c r="I27">
        <f t="shared" si="0"/>
        <v>0.66666666666666663</v>
      </c>
      <c r="J27">
        <v>0.66700000000000004</v>
      </c>
      <c r="K27">
        <v>1</v>
      </c>
      <c r="L27">
        <v>429</v>
      </c>
      <c r="M27">
        <f t="shared" si="1"/>
        <v>0.8</v>
      </c>
    </row>
    <row r="28" spans="1:13">
      <c r="A28" t="s">
        <v>117</v>
      </c>
      <c r="B28" s="1" t="s">
        <v>61</v>
      </c>
      <c r="C28" t="s">
        <v>118</v>
      </c>
      <c r="D28" t="s">
        <v>48</v>
      </c>
      <c r="E28" t="s">
        <v>598</v>
      </c>
      <c r="F28" t="s">
        <v>585</v>
      </c>
      <c r="G28">
        <v>0.5</v>
      </c>
      <c r="H28">
        <v>1</v>
      </c>
      <c r="I28">
        <f t="shared" si="0"/>
        <v>0.66666666666666663</v>
      </c>
      <c r="J28">
        <v>0.4</v>
      </c>
      <c r="K28">
        <v>1</v>
      </c>
      <c r="L28">
        <v>517</v>
      </c>
      <c r="M28">
        <f t="shared" si="1"/>
        <v>0.57099999999999995</v>
      </c>
    </row>
    <row r="29" spans="1:13">
      <c r="A29" t="s">
        <v>120</v>
      </c>
      <c r="B29" s="1" t="s">
        <v>61</v>
      </c>
      <c r="C29" t="s">
        <v>121</v>
      </c>
      <c r="D29" t="s">
        <v>599</v>
      </c>
      <c r="E29" t="s">
        <v>383</v>
      </c>
      <c r="F29" t="s">
        <v>376</v>
      </c>
      <c r="G29">
        <v>0</v>
      </c>
      <c r="H29">
        <v>0</v>
      </c>
      <c r="I29">
        <f t="shared" si="0"/>
        <v>0</v>
      </c>
      <c r="J29">
        <v>0.66700000000000004</v>
      </c>
      <c r="K29">
        <v>0.66700000000000004</v>
      </c>
      <c r="L29">
        <v>406</v>
      </c>
      <c r="M29">
        <f t="shared" si="1"/>
        <v>0.66700000000000004</v>
      </c>
    </row>
    <row r="30" spans="1:13">
      <c r="A30" t="s">
        <v>123</v>
      </c>
      <c r="B30" s="1" t="s">
        <v>124</v>
      </c>
      <c r="C30" t="s">
        <v>49</v>
      </c>
      <c r="D30" t="s">
        <v>77</v>
      </c>
      <c r="E30" t="s">
        <v>555</v>
      </c>
      <c r="F30" t="s">
        <v>585</v>
      </c>
      <c r="G30">
        <v>0.66700000000000004</v>
      </c>
      <c r="H30">
        <v>0.66700000000000004</v>
      </c>
      <c r="I30">
        <f t="shared" si="0"/>
        <v>0.66700000000000004</v>
      </c>
      <c r="J30">
        <v>0.75</v>
      </c>
      <c r="K30">
        <v>1</v>
      </c>
      <c r="L30">
        <v>543</v>
      </c>
      <c r="M30">
        <f t="shared" si="1"/>
        <v>0.85699999999999998</v>
      </c>
    </row>
    <row r="31" spans="1:13">
      <c r="A31" t="s">
        <v>125</v>
      </c>
      <c r="B31" s="1" t="s">
        <v>124</v>
      </c>
      <c r="C31" t="s">
        <v>126</v>
      </c>
      <c r="D31" t="s">
        <v>305</v>
      </c>
      <c r="E31" t="s">
        <v>600</v>
      </c>
      <c r="F31" t="s">
        <v>585</v>
      </c>
      <c r="G31">
        <v>1</v>
      </c>
      <c r="H31">
        <v>0.66700000000000004</v>
      </c>
      <c r="I31">
        <f t="shared" si="0"/>
        <v>0.80023995200959808</v>
      </c>
      <c r="J31">
        <v>0.2</v>
      </c>
      <c r="K31">
        <v>0.5</v>
      </c>
      <c r="L31">
        <v>516</v>
      </c>
      <c r="M31">
        <f t="shared" si="1"/>
        <v>0.28599999999999998</v>
      </c>
    </row>
    <row r="32" spans="1:13">
      <c r="A32" t="s">
        <v>129</v>
      </c>
      <c r="B32" s="1" t="s">
        <v>130</v>
      </c>
      <c r="C32" t="s">
        <v>131</v>
      </c>
      <c r="D32" t="s">
        <v>91</v>
      </c>
      <c r="E32" t="s">
        <v>493</v>
      </c>
      <c r="F32" t="s">
        <v>392</v>
      </c>
      <c r="G32">
        <v>1</v>
      </c>
      <c r="H32">
        <v>0.33300000000000002</v>
      </c>
      <c r="I32">
        <f t="shared" si="0"/>
        <v>0.4996249062265567</v>
      </c>
      <c r="J32">
        <v>0.33300000000000002</v>
      </c>
      <c r="K32">
        <v>0.4</v>
      </c>
      <c r="L32">
        <v>415</v>
      </c>
      <c r="M32">
        <f t="shared" si="1"/>
        <v>0.36299999999999999</v>
      </c>
    </row>
    <row r="33" spans="1:13">
      <c r="A33" s="3" t="s">
        <v>133</v>
      </c>
      <c r="B33" s="1" t="s">
        <v>115</v>
      </c>
      <c r="C33" t="s">
        <v>134</v>
      </c>
      <c r="D33" t="s">
        <v>601</v>
      </c>
      <c r="E33" t="s">
        <v>602</v>
      </c>
      <c r="F33" t="s">
        <v>374</v>
      </c>
      <c r="G33">
        <v>0.5</v>
      </c>
      <c r="H33">
        <v>0.5</v>
      </c>
      <c r="I33">
        <f t="shared" si="0"/>
        <v>0.5</v>
      </c>
      <c r="J33">
        <v>1</v>
      </c>
      <c r="K33">
        <v>0.8</v>
      </c>
      <c r="L33">
        <v>443</v>
      </c>
      <c r="M33">
        <f t="shared" si="1"/>
        <v>0.88900000000000001</v>
      </c>
    </row>
    <row r="34" spans="1:13">
      <c r="A34" t="s">
        <v>137</v>
      </c>
      <c r="B34" s="1" t="s">
        <v>91</v>
      </c>
      <c r="C34" t="s">
        <v>138</v>
      </c>
      <c r="D34" t="s">
        <v>91</v>
      </c>
      <c r="E34" t="s">
        <v>603</v>
      </c>
      <c r="F34" t="s">
        <v>392</v>
      </c>
      <c r="G34">
        <v>1</v>
      </c>
      <c r="H34">
        <v>1</v>
      </c>
      <c r="I34">
        <f t="shared" ref="I34:I65" si="2">IF(G34+H34=0,0,2*G34*H34/(G34+H34))</f>
        <v>1</v>
      </c>
      <c r="J34">
        <v>0.375</v>
      </c>
      <c r="K34">
        <v>0.6</v>
      </c>
      <c r="L34">
        <v>418</v>
      </c>
      <c r="M34">
        <f t="shared" ref="M34:M65" si="3">IF(J34+K34=0,0,ROUND(2*J34*K34/(J34+K34),3))</f>
        <v>0.46200000000000002</v>
      </c>
    </row>
    <row r="35" spans="1:13">
      <c r="A35" t="s">
        <v>140</v>
      </c>
      <c r="B35" s="1" t="s">
        <v>7</v>
      </c>
      <c r="C35" t="s">
        <v>141</v>
      </c>
      <c r="D35" t="s">
        <v>540</v>
      </c>
      <c r="E35" t="s">
        <v>604</v>
      </c>
      <c r="F35" t="s">
        <v>585</v>
      </c>
      <c r="G35">
        <v>0.5</v>
      </c>
      <c r="H35">
        <v>0.5</v>
      </c>
      <c r="I35">
        <f t="shared" si="2"/>
        <v>0.5</v>
      </c>
      <c r="J35">
        <v>1</v>
      </c>
      <c r="K35">
        <v>0.66700000000000004</v>
      </c>
      <c r="L35">
        <v>484</v>
      </c>
      <c r="M35">
        <f t="shared" si="3"/>
        <v>0.8</v>
      </c>
    </row>
    <row r="36" spans="1:13">
      <c r="A36" t="s">
        <v>143</v>
      </c>
      <c r="B36" s="1" t="s">
        <v>3</v>
      </c>
      <c r="C36" t="s">
        <v>97</v>
      </c>
      <c r="D36" t="s">
        <v>13</v>
      </c>
      <c r="E36" t="s">
        <v>97</v>
      </c>
      <c r="F36" t="s">
        <v>35</v>
      </c>
      <c r="G36">
        <v>0</v>
      </c>
      <c r="H36">
        <v>0</v>
      </c>
      <c r="I36">
        <f t="shared" si="2"/>
        <v>0</v>
      </c>
      <c r="J36">
        <v>1</v>
      </c>
      <c r="K36">
        <v>1</v>
      </c>
      <c r="L36">
        <v>412</v>
      </c>
      <c r="M36">
        <f t="shared" si="3"/>
        <v>1</v>
      </c>
    </row>
    <row r="37" spans="1:13">
      <c r="A37" t="s">
        <v>144</v>
      </c>
      <c r="B37" s="1" t="s">
        <v>145</v>
      </c>
      <c r="C37" t="s">
        <v>146</v>
      </c>
      <c r="D37" t="s">
        <v>153</v>
      </c>
      <c r="E37" t="s">
        <v>425</v>
      </c>
      <c r="F37" t="s">
        <v>23</v>
      </c>
      <c r="G37">
        <v>0.5</v>
      </c>
      <c r="H37">
        <v>0.5</v>
      </c>
      <c r="I37">
        <f t="shared" si="2"/>
        <v>0.5</v>
      </c>
      <c r="J37">
        <v>0.33300000000000002</v>
      </c>
      <c r="K37">
        <v>0.5</v>
      </c>
      <c r="L37">
        <v>497</v>
      </c>
      <c r="M37">
        <f t="shared" si="3"/>
        <v>0.4</v>
      </c>
    </row>
    <row r="38" spans="1:13">
      <c r="A38" t="s">
        <v>149</v>
      </c>
      <c r="B38" s="1" t="s">
        <v>61</v>
      </c>
      <c r="C38" t="s">
        <v>150</v>
      </c>
      <c r="D38" t="s">
        <v>61</v>
      </c>
      <c r="E38" t="s">
        <v>605</v>
      </c>
      <c r="F38" t="s">
        <v>585</v>
      </c>
      <c r="G38">
        <v>1</v>
      </c>
      <c r="H38">
        <v>1</v>
      </c>
      <c r="I38">
        <f t="shared" si="2"/>
        <v>1</v>
      </c>
      <c r="J38">
        <v>0.33300000000000002</v>
      </c>
      <c r="K38">
        <v>0.66700000000000004</v>
      </c>
      <c r="L38">
        <v>465</v>
      </c>
      <c r="M38">
        <f t="shared" si="3"/>
        <v>0.44400000000000001</v>
      </c>
    </row>
    <row r="39" spans="1:13">
      <c r="A39" t="s">
        <v>152</v>
      </c>
      <c r="B39" s="1" t="s">
        <v>153</v>
      </c>
      <c r="C39" t="s">
        <v>154</v>
      </c>
      <c r="D39" t="s">
        <v>54</v>
      </c>
      <c r="E39" t="s">
        <v>606</v>
      </c>
      <c r="F39" t="s">
        <v>222</v>
      </c>
      <c r="G39">
        <v>1</v>
      </c>
      <c r="H39">
        <v>0.5</v>
      </c>
      <c r="I39">
        <f t="shared" si="2"/>
        <v>0.66666666666666663</v>
      </c>
      <c r="J39">
        <v>0.5</v>
      </c>
      <c r="K39">
        <v>0.33300000000000002</v>
      </c>
      <c r="L39">
        <v>396</v>
      </c>
      <c r="M39">
        <f t="shared" si="3"/>
        <v>0.4</v>
      </c>
    </row>
    <row r="40" spans="1:13">
      <c r="A40" t="s">
        <v>156</v>
      </c>
      <c r="B40" s="1" t="s">
        <v>157</v>
      </c>
      <c r="C40" t="s">
        <v>158</v>
      </c>
      <c r="D40" t="s">
        <v>33</v>
      </c>
      <c r="E40" t="s">
        <v>276</v>
      </c>
      <c r="F40" t="s">
        <v>222</v>
      </c>
      <c r="G40">
        <v>0</v>
      </c>
      <c r="H40">
        <v>0</v>
      </c>
      <c r="I40">
        <f t="shared" si="2"/>
        <v>0</v>
      </c>
      <c r="J40">
        <v>0</v>
      </c>
      <c r="K40">
        <v>0</v>
      </c>
      <c r="L40">
        <v>376</v>
      </c>
      <c r="M40">
        <f t="shared" si="3"/>
        <v>0</v>
      </c>
    </row>
    <row r="41" spans="1:13">
      <c r="A41" t="s">
        <v>161</v>
      </c>
      <c r="B41" s="1" t="s">
        <v>7</v>
      </c>
      <c r="C41" t="s">
        <v>162</v>
      </c>
      <c r="D41" t="s">
        <v>9</v>
      </c>
      <c r="E41" t="s">
        <v>163</v>
      </c>
      <c r="F41" t="s">
        <v>374</v>
      </c>
      <c r="G41">
        <v>1</v>
      </c>
      <c r="H41">
        <v>0.5</v>
      </c>
      <c r="I41">
        <f t="shared" si="2"/>
        <v>0.66666666666666663</v>
      </c>
      <c r="J41">
        <v>1</v>
      </c>
      <c r="K41">
        <v>0.75</v>
      </c>
      <c r="L41">
        <v>417</v>
      </c>
      <c r="M41">
        <f t="shared" si="3"/>
        <v>0.85699999999999998</v>
      </c>
    </row>
    <row r="42" spans="1:13">
      <c r="A42" t="s">
        <v>164</v>
      </c>
      <c r="B42" s="1" t="s">
        <v>165</v>
      </c>
      <c r="C42" t="s">
        <v>166</v>
      </c>
      <c r="D42" t="s">
        <v>277</v>
      </c>
      <c r="E42" t="s">
        <v>528</v>
      </c>
      <c r="G42">
        <v>1</v>
      </c>
      <c r="H42">
        <v>0.33300000000000002</v>
      </c>
      <c r="I42">
        <f t="shared" si="2"/>
        <v>0.4996249062265567</v>
      </c>
      <c r="J42">
        <v>0</v>
      </c>
      <c r="K42">
        <v>0</v>
      </c>
      <c r="L42">
        <v>391</v>
      </c>
      <c r="M42">
        <f t="shared" si="3"/>
        <v>0</v>
      </c>
    </row>
    <row r="43" spans="1:13">
      <c r="A43" t="s">
        <v>169</v>
      </c>
      <c r="B43" s="1" t="s">
        <v>48</v>
      </c>
      <c r="C43" t="s">
        <v>170</v>
      </c>
      <c r="D43" t="s">
        <v>167</v>
      </c>
      <c r="E43" t="s">
        <v>607</v>
      </c>
      <c r="F43" t="s">
        <v>585</v>
      </c>
      <c r="G43">
        <v>0.5</v>
      </c>
      <c r="H43">
        <v>0.5</v>
      </c>
      <c r="I43">
        <f t="shared" si="2"/>
        <v>0.5</v>
      </c>
      <c r="J43">
        <v>1</v>
      </c>
      <c r="K43">
        <v>0.6</v>
      </c>
      <c r="L43">
        <v>484</v>
      </c>
      <c r="M43">
        <f t="shared" si="3"/>
        <v>0.75</v>
      </c>
    </row>
    <row r="44" spans="1:13">
      <c r="A44" t="s">
        <v>173</v>
      </c>
      <c r="B44" s="1" t="s">
        <v>19</v>
      </c>
      <c r="C44" t="s">
        <v>174</v>
      </c>
      <c r="D44" t="s">
        <v>277</v>
      </c>
      <c r="E44" t="s">
        <v>118</v>
      </c>
      <c r="F44" t="s">
        <v>341</v>
      </c>
      <c r="G44">
        <v>0</v>
      </c>
      <c r="H44">
        <v>0</v>
      </c>
      <c r="I44">
        <f t="shared" si="2"/>
        <v>0</v>
      </c>
      <c r="J44">
        <v>0</v>
      </c>
      <c r="K44">
        <v>0</v>
      </c>
      <c r="L44">
        <v>391</v>
      </c>
      <c r="M44">
        <f t="shared" si="3"/>
        <v>0</v>
      </c>
    </row>
    <row r="45" spans="1:13">
      <c r="A45" t="s">
        <v>177</v>
      </c>
      <c r="B45" s="1" t="s">
        <v>178</v>
      </c>
      <c r="C45" t="s">
        <v>92</v>
      </c>
      <c r="D45" t="s">
        <v>91</v>
      </c>
      <c r="E45" t="s">
        <v>502</v>
      </c>
      <c r="F45" t="s">
        <v>392</v>
      </c>
      <c r="G45">
        <v>1</v>
      </c>
      <c r="H45">
        <v>0.5</v>
      </c>
      <c r="I45">
        <f t="shared" si="2"/>
        <v>0.66666666666666663</v>
      </c>
      <c r="J45">
        <v>0.625</v>
      </c>
      <c r="K45">
        <v>1</v>
      </c>
      <c r="L45">
        <v>416</v>
      </c>
      <c r="M45">
        <f t="shared" si="3"/>
        <v>0.76900000000000002</v>
      </c>
    </row>
    <row r="46" spans="1:13">
      <c r="A46" t="s">
        <v>180</v>
      </c>
      <c r="B46" s="1" t="s">
        <v>61</v>
      </c>
      <c r="C46" t="s">
        <v>49</v>
      </c>
      <c r="D46" t="s">
        <v>48</v>
      </c>
      <c r="E46" t="s">
        <v>608</v>
      </c>
      <c r="F46" t="s">
        <v>585</v>
      </c>
      <c r="G46">
        <v>0.5</v>
      </c>
      <c r="H46">
        <v>1</v>
      </c>
      <c r="I46">
        <f t="shared" si="2"/>
        <v>0.66666666666666663</v>
      </c>
      <c r="J46">
        <v>0.66700000000000004</v>
      </c>
      <c r="K46">
        <v>0.66700000000000004</v>
      </c>
      <c r="L46">
        <v>519</v>
      </c>
      <c r="M46">
        <f t="shared" si="3"/>
        <v>0.66700000000000004</v>
      </c>
    </row>
    <row r="47" spans="1:13">
      <c r="A47" t="s">
        <v>182</v>
      </c>
      <c r="B47" s="1" t="s">
        <v>183</v>
      </c>
      <c r="C47" t="s">
        <v>184</v>
      </c>
      <c r="D47" t="s">
        <v>263</v>
      </c>
      <c r="E47" t="s">
        <v>609</v>
      </c>
      <c r="G47">
        <v>1</v>
      </c>
      <c r="H47">
        <v>0.5</v>
      </c>
      <c r="I47">
        <f t="shared" si="2"/>
        <v>0.66666666666666663</v>
      </c>
      <c r="J47">
        <v>0</v>
      </c>
      <c r="K47">
        <v>0</v>
      </c>
      <c r="L47">
        <v>461</v>
      </c>
      <c r="M47">
        <f t="shared" si="3"/>
        <v>0</v>
      </c>
    </row>
    <row r="48" spans="1:13">
      <c r="A48" t="s">
        <v>186</v>
      </c>
      <c r="B48" s="1" t="s">
        <v>61</v>
      </c>
      <c r="C48" t="s">
        <v>187</v>
      </c>
      <c r="D48" t="s">
        <v>33</v>
      </c>
      <c r="E48" t="s">
        <v>55</v>
      </c>
      <c r="F48" t="s">
        <v>341</v>
      </c>
      <c r="G48">
        <v>0</v>
      </c>
      <c r="H48">
        <v>0</v>
      </c>
      <c r="I48">
        <f t="shared" si="2"/>
        <v>0</v>
      </c>
      <c r="J48">
        <v>0</v>
      </c>
      <c r="K48">
        <v>0</v>
      </c>
      <c r="L48">
        <v>378</v>
      </c>
      <c r="M48">
        <f t="shared" si="3"/>
        <v>0</v>
      </c>
    </row>
    <row r="49" spans="1:13">
      <c r="A49" t="s">
        <v>188</v>
      </c>
      <c r="B49" s="1" t="s">
        <v>48</v>
      </c>
      <c r="C49" t="s">
        <v>189</v>
      </c>
      <c r="D49" t="s">
        <v>48</v>
      </c>
      <c r="E49" t="s">
        <v>610</v>
      </c>
      <c r="F49" t="s">
        <v>585</v>
      </c>
      <c r="G49">
        <v>1</v>
      </c>
      <c r="H49">
        <v>1</v>
      </c>
      <c r="I49">
        <f t="shared" si="2"/>
        <v>1</v>
      </c>
      <c r="J49">
        <v>0.6</v>
      </c>
      <c r="K49">
        <v>0.75</v>
      </c>
      <c r="L49">
        <v>521</v>
      </c>
      <c r="M49">
        <f t="shared" si="3"/>
        <v>0.66700000000000004</v>
      </c>
    </row>
    <row r="50" spans="1:13">
      <c r="A50" t="s">
        <v>192</v>
      </c>
      <c r="B50" s="1" t="s">
        <v>157</v>
      </c>
      <c r="C50" t="s">
        <v>193</v>
      </c>
      <c r="D50" t="s">
        <v>157</v>
      </c>
      <c r="E50" t="s">
        <v>611</v>
      </c>
      <c r="F50" t="s">
        <v>585</v>
      </c>
      <c r="G50">
        <v>1</v>
      </c>
      <c r="H50">
        <v>1</v>
      </c>
      <c r="I50">
        <f t="shared" si="2"/>
        <v>1</v>
      </c>
      <c r="J50">
        <v>0.8</v>
      </c>
      <c r="K50">
        <v>1</v>
      </c>
      <c r="L50">
        <v>435</v>
      </c>
      <c r="M50">
        <f t="shared" si="3"/>
        <v>0.88900000000000001</v>
      </c>
    </row>
    <row r="51" spans="1:13">
      <c r="A51" t="s">
        <v>196</v>
      </c>
      <c r="B51" s="1" t="s">
        <v>7</v>
      </c>
      <c r="C51" t="s">
        <v>162</v>
      </c>
      <c r="D51" t="s">
        <v>9</v>
      </c>
      <c r="E51" t="s">
        <v>10</v>
      </c>
      <c r="F51" t="s">
        <v>374</v>
      </c>
      <c r="G51">
        <v>1</v>
      </c>
      <c r="H51">
        <v>0.5</v>
      </c>
      <c r="I51">
        <f t="shared" si="2"/>
        <v>0.66666666666666663</v>
      </c>
      <c r="J51">
        <v>1</v>
      </c>
      <c r="K51">
        <v>0.75</v>
      </c>
      <c r="L51">
        <v>419</v>
      </c>
      <c r="M51">
        <f t="shared" si="3"/>
        <v>0.85699999999999998</v>
      </c>
    </row>
    <row r="52" spans="1:13">
      <c r="A52" t="s">
        <v>198</v>
      </c>
      <c r="B52" s="1" t="s">
        <v>199</v>
      </c>
      <c r="C52" t="s">
        <v>200</v>
      </c>
      <c r="D52" t="s">
        <v>612</v>
      </c>
      <c r="E52" t="s">
        <v>613</v>
      </c>
      <c r="F52" t="s">
        <v>585</v>
      </c>
      <c r="G52">
        <v>0</v>
      </c>
      <c r="H52">
        <v>0</v>
      </c>
      <c r="I52">
        <f t="shared" si="2"/>
        <v>0</v>
      </c>
      <c r="J52">
        <v>0.66700000000000004</v>
      </c>
      <c r="K52">
        <v>0.5</v>
      </c>
      <c r="L52">
        <v>392</v>
      </c>
      <c r="M52">
        <f t="shared" si="3"/>
        <v>0.57199999999999995</v>
      </c>
    </row>
    <row r="53" spans="1:13">
      <c r="A53" t="s">
        <v>203</v>
      </c>
      <c r="B53" s="1" t="s">
        <v>25</v>
      </c>
      <c r="C53" t="s">
        <v>204</v>
      </c>
      <c r="D53" t="s">
        <v>54</v>
      </c>
      <c r="E53" t="s">
        <v>369</v>
      </c>
      <c r="F53" t="s">
        <v>341</v>
      </c>
      <c r="G53">
        <v>1</v>
      </c>
      <c r="H53">
        <v>0.5</v>
      </c>
      <c r="I53">
        <f t="shared" si="2"/>
        <v>0.66666666666666663</v>
      </c>
      <c r="J53">
        <v>0.5</v>
      </c>
      <c r="K53">
        <v>0.25</v>
      </c>
      <c r="L53">
        <v>395</v>
      </c>
      <c r="M53">
        <f t="shared" si="3"/>
        <v>0.33300000000000002</v>
      </c>
    </row>
    <row r="54" spans="1:13">
      <c r="A54" t="s">
        <v>207</v>
      </c>
      <c r="B54" s="1" t="s">
        <v>1</v>
      </c>
      <c r="C54" t="s">
        <v>208</v>
      </c>
      <c r="D54" t="s">
        <v>398</v>
      </c>
      <c r="E54" t="s">
        <v>614</v>
      </c>
      <c r="G54">
        <v>0</v>
      </c>
      <c r="H54">
        <v>0</v>
      </c>
      <c r="I54">
        <f t="shared" si="2"/>
        <v>0</v>
      </c>
      <c r="J54">
        <v>0</v>
      </c>
      <c r="K54">
        <v>0</v>
      </c>
      <c r="L54">
        <v>371</v>
      </c>
      <c r="M54">
        <f t="shared" si="3"/>
        <v>0</v>
      </c>
    </row>
    <row r="55" spans="1:13">
      <c r="A55" t="s">
        <v>209</v>
      </c>
      <c r="B55" s="1" t="s">
        <v>113</v>
      </c>
      <c r="C55" t="s">
        <v>210</v>
      </c>
      <c r="D55" t="s">
        <v>61</v>
      </c>
      <c r="E55" t="s">
        <v>615</v>
      </c>
      <c r="F55" t="s">
        <v>587</v>
      </c>
      <c r="G55">
        <v>0</v>
      </c>
      <c r="H55">
        <v>0</v>
      </c>
      <c r="I55">
        <f t="shared" si="2"/>
        <v>0</v>
      </c>
      <c r="J55">
        <v>0.5</v>
      </c>
      <c r="K55">
        <v>0.16700000000000001</v>
      </c>
      <c r="L55">
        <v>454</v>
      </c>
      <c r="M55">
        <f t="shared" si="3"/>
        <v>0.25</v>
      </c>
    </row>
    <row r="56" spans="1:13">
      <c r="A56" t="s">
        <v>212</v>
      </c>
      <c r="B56" s="1" t="s">
        <v>67</v>
      </c>
      <c r="C56" t="s">
        <v>213</v>
      </c>
      <c r="D56" t="s">
        <v>67</v>
      </c>
      <c r="E56" t="s">
        <v>211</v>
      </c>
      <c r="F56" t="s">
        <v>374</v>
      </c>
      <c r="G56">
        <v>1</v>
      </c>
      <c r="H56">
        <v>1</v>
      </c>
      <c r="I56">
        <f t="shared" si="2"/>
        <v>1</v>
      </c>
      <c r="J56">
        <v>1</v>
      </c>
      <c r="K56">
        <v>0.75</v>
      </c>
      <c r="L56">
        <v>477</v>
      </c>
      <c r="M56">
        <f t="shared" si="3"/>
        <v>0.85699999999999998</v>
      </c>
    </row>
    <row r="57" spans="1:13">
      <c r="A57" t="s">
        <v>215</v>
      </c>
      <c r="B57" s="1" t="s">
        <v>216</v>
      </c>
      <c r="C57" t="s">
        <v>217</v>
      </c>
      <c r="D57" t="s">
        <v>127</v>
      </c>
      <c r="E57" t="s">
        <v>22</v>
      </c>
      <c r="F57" t="s">
        <v>23</v>
      </c>
      <c r="G57">
        <v>0.5</v>
      </c>
      <c r="H57">
        <v>0.33300000000000002</v>
      </c>
      <c r="I57">
        <f t="shared" si="2"/>
        <v>0.39975990396158467</v>
      </c>
      <c r="J57">
        <v>1</v>
      </c>
      <c r="K57">
        <v>0.5</v>
      </c>
      <c r="L57">
        <v>528</v>
      </c>
      <c r="M57">
        <f t="shared" si="3"/>
        <v>0.66700000000000004</v>
      </c>
    </row>
    <row r="58" spans="1:13">
      <c r="A58" t="s">
        <v>218</v>
      </c>
      <c r="B58" s="1" t="s">
        <v>656</v>
      </c>
      <c r="C58" t="s">
        <v>22</v>
      </c>
      <c r="D58" t="s">
        <v>91</v>
      </c>
      <c r="E58" t="s">
        <v>22</v>
      </c>
      <c r="F58" t="s">
        <v>23</v>
      </c>
      <c r="G58">
        <v>1</v>
      </c>
      <c r="H58">
        <v>0.33300000000000002</v>
      </c>
      <c r="I58">
        <f t="shared" si="2"/>
        <v>0.4996249062265567</v>
      </c>
      <c r="J58">
        <v>1</v>
      </c>
      <c r="K58">
        <v>1</v>
      </c>
      <c r="L58">
        <v>401</v>
      </c>
      <c r="M58">
        <f t="shared" si="3"/>
        <v>1</v>
      </c>
    </row>
    <row r="59" spans="1:13">
      <c r="A59" t="s">
        <v>219</v>
      </c>
      <c r="B59" s="1" t="s">
        <v>220</v>
      </c>
      <c r="C59" t="s">
        <v>221</v>
      </c>
      <c r="D59" t="s">
        <v>263</v>
      </c>
      <c r="E59" t="s">
        <v>221</v>
      </c>
      <c r="F59" t="s">
        <v>222</v>
      </c>
      <c r="G59">
        <v>0</v>
      </c>
      <c r="H59">
        <v>0</v>
      </c>
      <c r="I59">
        <f t="shared" si="2"/>
        <v>0</v>
      </c>
      <c r="J59">
        <v>1</v>
      </c>
      <c r="K59">
        <v>1</v>
      </c>
      <c r="L59">
        <v>467</v>
      </c>
      <c r="M59">
        <f t="shared" si="3"/>
        <v>1</v>
      </c>
    </row>
    <row r="60" spans="1:13">
      <c r="A60" t="s">
        <v>223</v>
      </c>
      <c r="B60" s="1" t="s">
        <v>7</v>
      </c>
      <c r="C60" t="s">
        <v>213</v>
      </c>
      <c r="D60" t="s">
        <v>550</v>
      </c>
      <c r="E60" t="s">
        <v>197</v>
      </c>
      <c r="F60" t="s">
        <v>374</v>
      </c>
      <c r="G60">
        <v>0.5</v>
      </c>
      <c r="H60">
        <v>0.5</v>
      </c>
      <c r="I60">
        <f t="shared" si="2"/>
        <v>0.5</v>
      </c>
      <c r="J60">
        <v>1</v>
      </c>
      <c r="K60">
        <v>0.5</v>
      </c>
      <c r="L60">
        <v>418</v>
      </c>
      <c r="M60">
        <f t="shared" si="3"/>
        <v>0.66700000000000004</v>
      </c>
    </row>
    <row r="61" spans="1:13">
      <c r="A61" t="s">
        <v>224</v>
      </c>
      <c r="B61" s="1" t="s">
        <v>225</v>
      </c>
      <c r="C61" t="s">
        <v>226</v>
      </c>
      <c r="D61" t="s">
        <v>48</v>
      </c>
      <c r="E61" t="s">
        <v>360</v>
      </c>
      <c r="F61" t="s">
        <v>23</v>
      </c>
      <c r="G61">
        <v>0.5</v>
      </c>
      <c r="H61">
        <v>0.5</v>
      </c>
      <c r="I61">
        <f t="shared" si="2"/>
        <v>0.5</v>
      </c>
      <c r="J61">
        <v>0.5</v>
      </c>
      <c r="K61">
        <v>0.25</v>
      </c>
      <c r="L61">
        <v>521</v>
      </c>
      <c r="M61">
        <f t="shared" si="3"/>
        <v>0.33300000000000002</v>
      </c>
    </row>
    <row r="62" spans="1:13">
      <c r="A62" t="s">
        <v>228</v>
      </c>
      <c r="B62" s="1" t="s">
        <v>229</v>
      </c>
      <c r="C62" t="s">
        <v>230</v>
      </c>
      <c r="D62" t="s">
        <v>61</v>
      </c>
      <c r="E62" t="s">
        <v>616</v>
      </c>
      <c r="F62" t="s">
        <v>617</v>
      </c>
      <c r="G62">
        <v>1</v>
      </c>
      <c r="H62">
        <v>0.5</v>
      </c>
      <c r="I62">
        <f t="shared" si="2"/>
        <v>0.66666666666666663</v>
      </c>
      <c r="J62">
        <v>0.2</v>
      </c>
      <c r="K62">
        <v>0.5</v>
      </c>
      <c r="L62">
        <v>473</v>
      </c>
      <c r="M62">
        <f t="shared" si="3"/>
        <v>0.28599999999999998</v>
      </c>
    </row>
    <row r="63" spans="1:13">
      <c r="A63" t="s">
        <v>232</v>
      </c>
      <c r="B63" s="1" t="s">
        <v>61</v>
      </c>
      <c r="C63" t="s">
        <v>233</v>
      </c>
      <c r="D63" t="s">
        <v>61</v>
      </c>
      <c r="E63" t="s">
        <v>618</v>
      </c>
      <c r="F63" t="s">
        <v>585</v>
      </c>
      <c r="G63">
        <v>1</v>
      </c>
      <c r="H63">
        <v>1</v>
      </c>
      <c r="I63">
        <f t="shared" si="2"/>
        <v>1</v>
      </c>
      <c r="J63">
        <v>0.5</v>
      </c>
      <c r="K63">
        <v>0.375</v>
      </c>
      <c r="L63">
        <v>470</v>
      </c>
      <c r="M63">
        <f t="shared" si="3"/>
        <v>0.42899999999999999</v>
      </c>
    </row>
    <row r="64" spans="1:13">
      <c r="A64" t="s">
        <v>235</v>
      </c>
      <c r="B64" s="1" t="s">
        <v>236</v>
      </c>
      <c r="C64" t="s">
        <v>237</v>
      </c>
      <c r="D64" t="s">
        <v>619</v>
      </c>
      <c r="E64" t="s">
        <v>276</v>
      </c>
      <c r="F64" t="s">
        <v>222</v>
      </c>
      <c r="G64">
        <v>0</v>
      </c>
      <c r="H64">
        <v>0</v>
      </c>
      <c r="I64">
        <f t="shared" si="2"/>
        <v>0</v>
      </c>
      <c r="J64">
        <v>1</v>
      </c>
      <c r="K64">
        <v>0.5</v>
      </c>
      <c r="L64">
        <v>417</v>
      </c>
      <c r="M64">
        <f t="shared" si="3"/>
        <v>0.66700000000000004</v>
      </c>
    </row>
    <row r="65" spans="1:13">
      <c r="A65" t="s">
        <v>240</v>
      </c>
      <c r="B65" s="1" t="s">
        <v>220</v>
      </c>
      <c r="C65" t="s">
        <v>221</v>
      </c>
      <c r="D65" t="s">
        <v>46</v>
      </c>
      <c r="E65" t="s">
        <v>620</v>
      </c>
      <c r="F65" t="s">
        <v>335</v>
      </c>
      <c r="G65">
        <v>0.5</v>
      </c>
      <c r="H65">
        <v>0.5</v>
      </c>
      <c r="I65">
        <f t="shared" si="2"/>
        <v>0.5</v>
      </c>
      <c r="J65">
        <v>0.5</v>
      </c>
      <c r="K65">
        <v>1</v>
      </c>
      <c r="L65">
        <v>564</v>
      </c>
      <c r="M65">
        <f t="shared" si="3"/>
        <v>0.66700000000000004</v>
      </c>
    </row>
    <row r="66" spans="1:13">
      <c r="A66" t="s">
        <v>242</v>
      </c>
      <c r="B66" s="1" t="s">
        <v>25</v>
      </c>
      <c r="C66" t="s">
        <v>243</v>
      </c>
      <c r="D66" t="s">
        <v>27</v>
      </c>
      <c r="E66" t="s">
        <v>621</v>
      </c>
      <c r="F66" t="s">
        <v>341</v>
      </c>
      <c r="G66">
        <v>0.5</v>
      </c>
      <c r="H66">
        <v>0.5</v>
      </c>
      <c r="I66">
        <f t="shared" ref="I66:I97" si="4">IF(G66+H66=0,0,2*G66*H66/(G66+H66))</f>
        <v>0.5</v>
      </c>
      <c r="J66">
        <v>0.75</v>
      </c>
      <c r="K66">
        <v>0.75</v>
      </c>
      <c r="L66">
        <v>494</v>
      </c>
      <c r="M66">
        <f t="shared" ref="M66:M94" si="5">IF(J66+K66=0,0,ROUND(2*J66*K66/(J66+K66),3))</f>
        <v>0.75</v>
      </c>
    </row>
    <row r="67" spans="1:13">
      <c r="A67" t="s">
        <v>244</v>
      </c>
      <c r="B67" s="1" t="s">
        <v>245</v>
      </c>
      <c r="C67" t="s">
        <v>246</v>
      </c>
      <c r="D67" t="s">
        <v>33</v>
      </c>
      <c r="E67" t="s">
        <v>622</v>
      </c>
      <c r="F67" t="s">
        <v>392</v>
      </c>
      <c r="G67">
        <v>0</v>
      </c>
      <c r="H67">
        <v>0</v>
      </c>
      <c r="I67">
        <f t="shared" si="4"/>
        <v>0</v>
      </c>
      <c r="J67">
        <v>0</v>
      </c>
      <c r="K67">
        <v>0</v>
      </c>
      <c r="L67">
        <v>380</v>
      </c>
      <c r="M67">
        <f t="shared" si="5"/>
        <v>0</v>
      </c>
    </row>
    <row r="68" spans="1:13">
      <c r="A68" t="s">
        <v>249</v>
      </c>
      <c r="B68" s="1" t="s">
        <v>54</v>
      </c>
      <c r="C68" t="s">
        <v>250</v>
      </c>
      <c r="D68" t="s">
        <v>382</v>
      </c>
      <c r="E68" t="s">
        <v>623</v>
      </c>
      <c r="F68" t="s">
        <v>374</v>
      </c>
      <c r="G68">
        <v>0</v>
      </c>
      <c r="H68">
        <v>0</v>
      </c>
      <c r="I68">
        <f t="shared" si="4"/>
        <v>0</v>
      </c>
      <c r="J68">
        <v>0.57099999999999995</v>
      </c>
      <c r="K68">
        <v>1</v>
      </c>
      <c r="L68">
        <v>492</v>
      </c>
      <c r="M68">
        <f t="shared" si="5"/>
        <v>0.72699999999999998</v>
      </c>
    </row>
    <row r="69" spans="1:13">
      <c r="A69" t="s">
        <v>253</v>
      </c>
      <c r="B69" s="1" t="s">
        <v>254</v>
      </c>
      <c r="C69" t="s">
        <v>255</v>
      </c>
      <c r="D69" t="s">
        <v>450</v>
      </c>
      <c r="E69" t="s">
        <v>514</v>
      </c>
      <c r="F69" t="s">
        <v>376</v>
      </c>
      <c r="G69">
        <v>0.5</v>
      </c>
      <c r="H69">
        <v>0.5</v>
      </c>
      <c r="I69">
        <f t="shared" si="4"/>
        <v>0.5</v>
      </c>
      <c r="J69">
        <v>0.4</v>
      </c>
      <c r="K69">
        <v>0.5</v>
      </c>
      <c r="L69">
        <v>487</v>
      </c>
      <c r="M69">
        <f t="shared" si="5"/>
        <v>0.44400000000000001</v>
      </c>
    </row>
    <row r="70" spans="1:13">
      <c r="A70" t="s">
        <v>257</v>
      </c>
      <c r="B70" s="1" t="s">
        <v>7</v>
      </c>
      <c r="C70" t="s">
        <v>258</v>
      </c>
      <c r="D70" t="s">
        <v>9</v>
      </c>
      <c r="E70" t="s">
        <v>10</v>
      </c>
      <c r="F70" t="s">
        <v>374</v>
      </c>
      <c r="G70">
        <v>1</v>
      </c>
      <c r="H70">
        <v>0.5</v>
      </c>
      <c r="I70">
        <f t="shared" si="4"/>
        <v>0.66666666666666663</v>
      </c>
      <c r="J70">
        <v>0.66700000000000004</v>
      </c>
      <c r="K70">
        <v>0.33300000000000002</v>
      </c>
      <c r="L70">
        <v>413</v>
      </c>
      <c r="M70">
        <f t="shared" si="5"/>
        <v>0.44400000000000001</v>
      </c>
    </row>
    <row r="71" spans="1:13">
      <c r="A71" t="s">
        <v>261</v>
      </c>
      <c r="B71" s="1" t="s">
        <v>25</v>
      </c>
      <c r="C71" t="s">
        <v>118</v>
      </c>
      <c r="D71" t="s">
        <v>33</v>
      </c>
      <c r="E71" t="s">
        <v>262</v>
      </c>
      <c r="F71" t="s">
        <v>341</v>
      </c>
      <c r="G71">
        <v>1</v>
      </c>
      <c r="H71">
        <v>0.5</v>
      </c>
      <c r="I71">
        <f t="shared" si="4"/>
        <v>0.66666666666666663</v>
      </c>
      <c r="J71">
        <v>0.66700000000000004</v>
      </c>
      <c r="K71">
        <v>1</v>
      </c>
      <c r="L71">
        <v>378</v>
      </c>
      <c r="M71">
        <f t="shared" si="5"/>
        <v>0.8</v>
      </c>
    </row>
    <row r="72" spans="1:13">
      <c r="A72" t="s">
        <v>18</v>
      </c>
      <c r="B72" s="1" t="s">
        <v>46</v>
      </c>
      <c r="C72" t="s">
        <v>22</v>
      </c>
      <c r="D72" t="s">
        <v>263</v>
      </c>
      <c r="E72" t="s">
        <v>624</v>
      </c>
      <c r="F72" t="s">
        <v>23</v>
      </c>
      <c r="G72">
        <v>1</v>
      </c>
      <c r="H72">
        <v>0.5</v>
      </c>
      <c r="I72">
        <f t="shared" si="4"/>
        <v>0.66666666666666663</v>
      </c>
      <c r="J72">
        <v>0.5</v>
      </c>
      <c r="K72">
        <v>1</v>
      </c>
      <c r="L72">
        <v>474</v>
      </c>
      <c r="M72">
        <f t="shared" si="5"/>
        <v>0.66700000000000004</v>
      </c>
    </row>
    <row r="73" spans="1:13">
      <c r="A73" t="s">
        <v>264</v>
      </c>
      <c r="B73" s="1" t="s">
        <v>46</v>
      </c>
      <c r="C73" t="s">
        <v>265</v>
      </c>
      <c r="D73" t="s">
        <v>61</v>
      </c>
      <c r="E73" t="s">
        <v>625</v>
      </c>
      <c r="F73" t="s">
        <v>583</v>
      </c>
      <c r="G73">
        <v>1</v>
      </c>
      <c r="H73">
        <v>0.5</v>
      </c>
      <c r="I73">
        <f t="shared" si="4"/>
        <v>0.66666666666666663</v>
      </c>
      <c r="J73">
        <v>0.33300000000000002</v>
      </c>
      <c r="K73">
        <v>1</v>
      </c>
      <c r="L73">
        <v>460</v>
      </c>
      <c r="M73">
        <f t="shared" si="5"/>
        <v>0.5</v>
      </c>
    </row>
    <row r="74" spans="1:13">
      <c r="A74" t="s">
        <v>267</v>
      </c>
      <c r="B74" s="1" t="s">
        <v>19</v>
      </c>
      <c r="C74" t="s">
        <v>268</v>
      </c>
      <c r="D74" t="s">
        <v>113</v>
      </c>
      <c r="E74" t="s">
        <v>500</v>
      </c>
      <c r="G74">
        <v>0</v>
      </c>
      <c r="H74">
        <v>0</v>
      </c>
      <c r="I74">
        <f t="shared" si="4"/>
        <v>0</v>
      </c>
      <c r="J74">
        <v>0</v>
      </c>
      <c r="K74">
        <v>0</v>
      </c>
      <c r="L74">
        <v>440</v>
      </c>
      <c r="M74">
        <f t="shared" si="5"/>
        <v>0</v>
      </c>
    </row>
    <row r="75" spans="1:13">
      <c r="A75" t="s">
        <v>270</v>
      </c>
      <c r="B75" s="1" t="s">
        <v>271</v>
      </c>
      <c r="C75" t="s">
        <v>272</v>
      </c>
      <c r="D75" t="s">
        <v>626</v>
      </c>
      <c r="E75" t="s">
        <v>627</v>
      </c>
      <c r="F75" t="s">
        <v>376</v>
      </c>
      <c r="G75">
        <v>0</v>
      </c>
      <c r="H75">
        <v>0</v>
      </c>
      <c r="I75">
        <f t="shared" si="4"/>
        <v>0</v>
      </c>
      <c r="J75">
        <v>1</v>
      </c>
      <c r="K75">
        <v>0.6</v>
      </c>
      <c r="L75">
        <v>522</v>
      </c>
      <c r="M75">
        <f t="shared" si="5"/>
        <v>0.75</v>
      </c>
    </row>
    <row r="76" spans="1:13">
      <c r="A76" t="s">
        <v>275</v>
      </c>
      <c r="B76" s="1" t="s">
        <v>236</v>
      </c>
      <c r="C76" t="s">
        <v>237</v>
      </c>
      <c r="D76" t="s">
        <v>277</v>
      </c>
      <c r="E76" t="s">
        <v>118</v>
      </c>
      <c r="F76" t="s">
        <v>341</v>
      </c>
      <c r="G76">
        <v>1</v>
      </c>
      <c r="H76">
        <v>0.33300000000000002</v>
      </c>
      <c r="I76">
        <f t="shared" si="4"/>
        <v>0.4996249062265567</v>
      </c>
      <c r="J76">
        <v>0</v>
      </c>
      <c r="K76">
        <v>0</v>
      </c>
      <c r="L76">
        <v>407</v>
      </c>
      <c r="M76">
        <f t="shared" si="5"/>
        <v>0</v>
      </c>
    </row>
    <row r="77" spans="1:13">
      <c r="A77" t="s">
        <v>279</v>
      </c>
      <c r="B77" s="1" t="s">
        <v>54</v>
      </c>
      <c r="C77" t="s">
        <v>280</v>
      </c>
      <c r="D77" t="s">
        <v>54</v>
      </c>
      <c r="E77" t="s">
        <v>281</v>
      </c>
      <c r="F77" t="s">
        <v>341</v>
      </c>
      <c r="G77">
        <v>1</v>
      </c>
      <c r="H77">
        <v>1</v>
      </c>
      <c r="I77">
        <f t="shared" si="4"/>
        <v>1</v>
      </c>
      <c r="J77">
        <v>0.66700000000000004</v>
      </c>
      <c r="K77">
        <v>0.66700000000000004</v>
      </c>
      <c r="L77">
        <v>407</v>
      </c>
      <c r="M77">
        <f t="shared" si="5"/>
        <v>0.66700000000000004</v>
      </c>
    </row>
    <row r="78" spans="1:13">
      <c r="A78" t="s">
        <v>282</v>
      </c>
      <c r="B78" s="1" t="s">
        <v>283</v>
      </c>
      <c r="C78" t="s">
        <v>284</v>
      </c>
      <c r="D78" t="s">
        <v>54</v>
      </c>
      <c r="E78" t="s">
        <v>476</v>
      </c>
      <c r="F78" t="s">
        <v>374</v>
      </c>
      <c r="G78">
        <v>1</v>
      </c>
      <c r="H78">
        <v>0.33300000000000002</v>
      </c>
      <c r="I78">
        <f t="shared" si="4"/>
        <v>0.4996249062265567</v>
      </c>
      <c r="J78">
        <v>1</v>
      </c>
      <c r="K78">
        <v>0.5</v>
      </c>
      <c r="L78">
        <v>395</v>
      </c>
      <c r="M78">
        <f t="shared" si="5"/>
        <v>0.66700000000000004</v>
      </c>
    </row>
    <row r="79" spans="1:13">
      <c r="A79" t="s">
        <v>287</v>
      </c>
      <c r="B79" s="1" t="s">
        <v>7</v>
      </c>
      <c r="C79" t="s">
        <v>288</v>
      </c>
      <c r="D79" t="s">
        <v>9</v>
      </c>
      <c r="E79" t="s">
        <v>10</v>
      </c>
      <c r="F79" t="s">
        <v>374</v>
      </c>
      <c r="G79">
        <v>1</v>
      </c>
      <c r="H79">
        <v>0.5</v>
      </c>
      <c r="I79">
        <f t="shared" si="4"/>
        <v>0.66666666666666663</v>
      </c>
      <c r="J79">
        <v>0.66700000000000004</v>
      </c>
      <c r="K79">
        <v>0.5</v>
      </c>
      <c r="L79">
        <v>417</v>
      </c>
      <c r="M79">
        <f t="shared" si="5"/>
        <v>0.57199999999999995</v>
      </c>
    </row>
    <row r="80" spans="1:13">
      <c r="A80" t="s">
        <v>290</v>
      </c>
      <c r="B80" s="1" t="s">
        <v>291</v>
      </c>
      <c r="C80" t="s">
        <v>292</v>
      </c>
      <c r="D80" t="s">
        <v>458</v>
      </c>
      <c r="E80" t="s">
        <v>628</v>
      </c>
      <c r="F80" t="s">
        <v>374</v>
      </c>
      <c r="G80">
        <v>0.5</v>
      </c>
      <c r="H80">
        <v>0.5</v>
      </c>
      <c r="I80">
        <f t="shared" si="4"/>
        <v>0.5</v>
      </c>
      <c r="J80">
        <v>0.25</v>
      </c>
      <c r="K80">
        <v>0.25</v>
      </c>
      <c r="L80">
        <v>457</v>
      </c>
      <c r="M80">
        <f t="shared" si="5"/>
        <v>0.25</v>
      </c>
    </row>
    <row r="81" spans="1:13">
      <c r="A81" s="3" t="s">
        <v>294</v>
      </c>
      <c r="B81" s="1" t="s">
        <v>295</v>
      </c>
      <c r="C81" t="s">
        <v>284</v>
      </c>
      <c r="D81" t="s">
        <v>113</v>
      </c>
      <c r="E81" t="s">
        <v>297</v>
      </c>
      <c r="F81" t="s">
        <v>585</v>
      </c>
      <c r="G81">
        <v>1</v>
      </c>
      <c r="H81">
        <v>0.5</v>
      </c>
      <c r="I81">
        <f t="shared" si="4"/>
        <v>0.66666666666666663</v>
      </c>
      <c r="J81">
        <v>0.4</v>
      </c>
      <c r="K81">
        <v>1</v>
      </c>
      <c r="L81">
        <v>439</v>
      </c>
      <c r="M81">
        <f t="shared" si="5"/>
        <v>0.57099999999999995</v>
      </c>
    </row>
    <row r="82" spans="1:13">
      <c r="A82" t="s">
        <v>298</v>
      </c>
      <c r="B82" s="1" t="s">
        <v>299</v>
      </c>
      <c r="C82" t="s">
        <v>300</v>
      </c>
      <c r="D82" t="s">
        <v>54</v>
      </c>
      <c r="E82" t="s">
        <v>262</v>
      </c>
      <c r="F82" t="s">
        <v>341</v>
      </c>
      <c r="G82">
        <v>1</v>
      </c>
      <c r="H82">
        <v>0.5</v>
      </c>
      <c r="I82">
        <f t="shared" si="4"/>
        <v>0.66666666666666663</v>
      </c>
      <c r="J82">
        <v>1</v>
      </c>
      <c r="K82">
        <v>0.75</v>
      </c>
      <c r="L82">
        <v>402</v>
      </c>
      <c r="M82">
        <f t="shared" si="5"/>
        <v>0.85699999999999998</v>
      </c>
    </row>
    <row r="83" spans="1:13">
      <c r="A83" t="s">
        <v>302</v>
      </c>
      <c r="B83" s="1" t="s">
        <v>303</v>
      </c>
      <c r="C83" t="s">
        <v>304</v>
      </c>
      <c r="D83" t="s">
        <v>48</v>
      </c>
      <c r="E83" t="s">
        <v>304</v>
      </c>
      <c r="F83" t="s">
        <v>23</v>
      </c>
      <c r="G83">
        <v>0.5</v>
      </c>
      <c r="H83">
        <v>0.33300000000000002</v>
      </c>
      <c r="I83">
        <f t="shared" si="4"/>
        <v>0.39975990396158467</v>
      </c>
      <c r="J83">
        <v>1</v>
      </c>
      <c r="K83">
        <v>1</v>
      </c>
      <c r="L83">
        <v>522</v>
      </c>
      <c r="M83">
        <f t="shared" si="5"/>
        <v>1</v>
      </c>
    </row>
    <row r="84" spans="1:13">
      <c r="A84" t="s">
        <v>307</v>
      </c>
      <c r="B84" s="1" t="s">
        <v>183</v>
      </c>
      <c r="C84" t="s">
        <v>308</v>
      </c>
      <c r="D84" t="s">
        <v>524</v>
      </c>
      <c r="E84" t="s">
        <v>276</v>
      </c>
      <c r="F84" t="s">
        <v>222</v>
      </c>
      <c r="G84">
        <v>0</v>
      </c>
      <c r="H84">
        <v>0</v>
      </c>
      <c r="I84">
        <f t="shared" si="4"/>
        <v>0</v>
      </c>
      <c r="J84">
        <v>0</v>
      </c>
      <c r="K84">
        <v>0</v>
      </c>
      <c r="L84">
        <v>399</v>
      </c>
      <c r="M84">
        <f t="shared" si="5"/>
        <v>0</v>
      </c>
    </row>
    <row r="85" spans="1:13">
      <c r="A85" t="s">
        <v>310</v>
      </c>
      <c r="B85" s="1" t="s">
        <v>19</v>
      </c>
      <c r="C85" t="s">
        <v>311</v>
      </c>
      <c r="D85" t="s">
        <v>277</v>
      </c>
      <c r="E85" t="s">
        <v>526</v>
      </c>
      <c r="F85" t="s">
        <v>222</v>
      </c>
      <c r="G85">
        <v>0</v>
      </c>
      <c r="H85">
        <v>0</v>
      </c>
      <c r="I85">
        <f t="shared" si="4"/>
        <v>0</v>
      </c>
      <c r="J85">
        <v>0</v>
      </c>
      <c r="K85">
        <v>0</v>
      </c>
      <c r="L85">
        <v>419</v>
      </c>
      <c r="M85">
        <f t="shared" si="5"/>
        <v>0</v>
      </c>
    </row>
    <row r="86" spans="1:13">
      <c r="A86" t="s">
        <v>313</v>
      </c>
      <c r="B86" s="1" t="s">
        <v>46</v>
      </c>
      <c r="C86" t="s">
        <v>314</v>
      </c>
      <c r="D86" t="s">
        <v>48</v>
      </c>
      <c r="E86" t="s">
        <v>629</v>
      </c>
      <c r="F86" t="s">
        <v>585</v>
      </c>
      <c r="G86">
        <v>0.5</v>
      </c>
      <c r="H86">
        <v>0.5</v>
      </c>
      <c r="I86">
        <f t="shared" si="4"/>
        <v>0.5</v>
      </c>
      <c r="J86">
        <v>0.6</v>
      </c>
      <c r="K86">
        <v>0.6</v>
      </c>
      <c r="L86">
        <v>545</v>
      </c>
      <c r="M86">
        <f t="shared" si="5"/>
        <v>0.6</v>
      </c>
    </row>
    <row r="87" spans="1:13">
      <c r="A87" t="s">
        <v>316</v>
      </c>
      <c r="B87" s="1" t="s">
        <v>19</v>
      </c>
      <c r="C87" t="s">
        <v>317</v>
      </c>
      <c r="D87" t="s">
        <v>382</v>
      </c>
      <c r="E87" t="s">
        <v>366</v>
      </c>
      <c r="F87" t="s">
        <v>341</v>
      </c>
      <c r="G87">
        <v>0.5</v>
      </c>
      <c r="H87">
        <v>0.5</v>
      </c>
      <c r="I87">
        <f t="shared" si="4"/>
        <v>0.5</v>
      </c>
      <c r="J87">
        <v>1</v>
      </c>
      <c r="K87">
        <v>0.75</v>
      </c>
      <c r="L87">
        <v>511</v>
      </c>
      <c r="M87">
        <f t="shared" si="5"/>
        <v>0.85699999999999998</v>
      </c>
    </row>
    <row r="88" spans="1:13">
      <c r="A88" t="s">
        <v>319</v>
      </c>
      <c r="B88" s="1" t="s">
        <v>320</v>
      </c>
      <c r="C88" t="s">
        <v>321</v>
      </c>
      <c r="D88" t="s">
        <v>48</v>
      </c>
      <c r="E88" t="s">
        <v>576</v>
      </c>
      <c r="F88" t="s">
        <v>585</v>
      </c>
      <c r="G88">
        <v>0.5</v>
      </c>
      <c r="H88">
        <v>0.33300000000000002</v>
      </c>
      <c r="I88">
        <f t="shared" si="4"/>
        <v>0.39975990396158467</v>
      </c>
      <c r="J88">
        <v>0.66700000000000004</v>
      </c>
      <c r="K88">
        <v>0.66700000000000004</v>
      </c>
      <c r="L88">
        <v>519</v>
      </c>
      <c r="M88">
        <f t="shared" si="5"/>
        <v>0.66700000000000004</v>
      </c>
    </row>
    <row r="89" spans="1:13">
      <c r="A89" t="s">
        <v>323</v>
      </c>
      <c r="B89" s="1" t="s">
        <v>37</v>
      </c>
      <c r="C89" t="s">
        <v>324</v>
      </c>
      <c r="D89" t="s">
        <v>37</v>
      </c>
      <c r="E89" t="s">
        <v>391</v>
      </c>
      <c r="F89" t="s">
        <v>392</v>
      </c>
      <c r="G89">
        <v>1</v>
      </c>
      <c r="H89">
        <v>1</v>
      </c>
      <c r="I89">
        <f t="shared" si="4"/>
        <v>1</v>
      </c>
      <c r="J89">
        <v>0.5</v>
      </c>
      <c r="K89">
        <v>1</v>
      </c>
      <c r="L89">
        <v>411</v>
      </c>
      <c r="M89">
        <f t="shared" si="5"/>
        <v>0.66700000000000004</v>
      </c>
    </row>
    <row r="90" spans="1:13">
      <c r="A90" t="s">
        <v>267</v>
      </c>
      <c r="B90" s="1" t="s">
        <v>19</v>
      </c>
      <c r="C90" t="s">
        <v>268</v>
      </c>
      <c r="D90" t="s">
        <v>630</v>
      </c>
      <c r="E90" t="s">
        <v>631</v>
      </c>
      <c r="F90" t="s">
        <v>35</v>
      </c>
      <c r="G90">
        <v>0</v>
      </c>
      <c r="H90">
        <v>0</v>
      </c>
      <c r="I90">
        <f t="shared" si="4"/>
        <v>0</v>
      </c>
      <c r="J90">
        <v>0.33300000000000002</v>
      </c>
      <c r="K90">
        <v>0.33300000000000002</v>
      </c>
      <c r="L90">
        <v>398</v>
      </c>
      <c r="M90">
        <f t="shared" si="5"/>
        <v>0.33300000000000002</v>
      </c>
    </row>
    <row r="91" spans="1:13">
      <c r="A91" t="s">
        <v>326</v>
      </c>
      <c r="B91" s="1" t="s">
        <v>183</v>
      </c>
      <c r="C91" t="s">
        <v>327</v>
      </c>
      <c r="D91" t="s">
        <v>277</v>
      </c>
      <c r="E91" t="s">
        <v>500</v>
      </c>
      <c r="G91">
        <v>1</v>
      </c>
      <c r="H91">
        <v>0.5</v>
      </c>
      <c r="I91">
        <f t="shared" si="4"/>
        <v>0.66666666666666663</v>
      </c>
      <c r="J91">
        <v>0</v>
      </c>
      <c r="K91">
        <v>0</v>
      </c>
      <c r="L91">
        <v>391</v>
      </c>
      <c r="M91">
        <f t="shared" si="5"/>
        <v>0</v>
      </c>
    </row>
    <row r="92" spans="1:13">
      <c r="A92" t="s">
        <v>329</v>
      </c>
      <c r="B92" s="1" t="s">
        <v>13</v>
      </c>
      <c r="C92" t="s">
        <v>330</v>
      </c>
      <c r="D92" t="s">
        <v>632</v>
      </c>
      <c r="E92" t="s">
        <v>633</v>
      </c>
      <c r="F92" t="s">
        <v>35</v>
      </c>
      <c r="G92">
        <v>0</v>
      </c>
      <c r="H92">
        <v>0</v>
      </c>
      <c r="I92">
        <f t="shared" si="4"/>
        <v>0</v>
      </c>
      <c r="J92">
        <v>0</v>
      </c>
      <c r="K92">
        <v>0</v>
      </c>
      <c r="L92">
        <v>419</v>
      </c>
      <c r="M92">
        <f t="shared" si="5"/>
        <v>0</v>
      </c>
    </row>
    <row r="93" spans="1:13">
      <c r="A93" t="s">
        <v>332</v>
      </c>
      <c r="B93" s="1" t="s">
        <v>37</v>
      </c>
      <c r="C93" t="s">
        <v>324</v>
      </c>
      <c r="D93" t="s">
        <v>37</v>
      </c>
      <c r="E93" t="s">
        <v>529</v>
      </c>
      <c r="F93" t="s">
        <v>392</v>
      </c>
      <c r="G93">
        <v>1</v>
      </c>
      <c r="H93">
        <v>1</v>
      </c>
      <c r="I93">
        <f t="shared" si="4"/>
        <v>1</v>
      </c>
      <c r="J93">
        <v>0.4</v>
      </c>
      <c r="K93">
        <v>1</v>
      </c>
      <c r="L93">
        <v>416</v>
      </c>
      <c r="M93">
        <f t="shared" si="5"/>
        <v>0.57099999999999995</v>
      </c>
    </row>
    <row r="94" spans="1:13">
      <c r="A94" t="s">
        <v>334</v>
      </c>
      <c r="B94" s="1" t="s">
        <v>61</v>
      </c>
      <c r="C94" t="s">
        <v>221</v>
      </c>
      <c r="D94" t="s">
        <v>263</v>
      </c>
      <c r="E94" t="s">
        <v>221</v>
      </c>
      <c r="F94" t="s">
        <v>222</v>
      </c>
      <c r="G94">
        <v>0</v>
      </c>
      <c r="H94">
        <v>0</v>
      </c>
      <c r="I94">
        <f t="shared" si="4"/>
        <v>0</v>
      </c>
      <c r="J94">
        <v>1</v>
      </c>
      <c r="K94">
        <v>1</v>
      </c>
      <c r="L94">
        <v>461</v>
      </c>
      <c r="M94">
        <f t="shared" si="5"/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test_explain_json_4o</vt:lpstr>
      <vt:lpstr>test_keyword_json_4o</vt:lpstr>
      <vt:lpstr>test_murray_json_4o</vt:lpstr>
      <vt:lpstr>test_explain_json</vt:lpstr>
      <vt:lpstr>test_keyword_json</vt:lpstr>
      <vt:lpstr>test_murray_json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HIROAKI SHIMOMA</dc:creator>
  <cp:lastModifiedBy>HIROAKI SHIMOMA</cp:lastModifiedBy>
  <dcterms:created xsi:type="dcterms:W3CDTF">2015-06-05T18:19:34Z</dcterms:created>
  <dcterms:modified xsi:type="dcterms:W3CDTF">2025-05-15T08:27:30Z</dcterms:modified>
</cp:coreProperties>
</file>