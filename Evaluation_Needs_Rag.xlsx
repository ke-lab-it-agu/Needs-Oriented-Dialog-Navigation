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oyamajp-my.sharepoint.com/personal/c5625245_aoyama_jp/Documents/研究発表用資料/学会/ICAART/Needs-Oriented-Navigation/"/>
    </mc:Choice>
  </mc:AlternateContent>
  <xr:revisionPtr revIDLastSave="61" documentId="13_ncr:1_{C43F313E-8685-459C-BC63-D32CD1607E22}" xr6:coauthVersionLast="47" xr6:coauthVersionMax="47" xr10:uidLastSave="{B8C48777-0F5F-4081-98A2-5EBD63C85807}"/>
  <bookViews>
    <workbookView xWindow="-110" yWindow="-110" windowWidth="19420" windowHeight="11020" tabRatio="853" xr2:uid="{00000000-000D-0000-FFFF-FFFF00000000}"/>
  </bookViews>
  <sheets>
    <sheet name="GPT-4o" sheetId="19" r:id="rId1"/>
    <sheet name="GPT-4o-mini" sheetId="1" r:id="rId2"/>
    <sheet name="test_rag_border01_4o" sheetId="16" r:id="rId3"/>
    <sheet name="test_rag_border02_4o" sheetId="17" r:id="rId4"/>
    <sheet name="test_rag_border03_4o" sheetId="18" r:id="rId5"/>
    <sheet name="test_rag_border01" sheetId="2" r:id="rId6"/>
    <sheet name="test_rag_border02" sheetId="3" r:id="rId7"/>
    <sheet name="test_rag_border03" sheetId="5" r:id="rId8"/>
    <sheet name="thing_list_people" sheetId="15" r:id="rId9"/>
  </sheets>
  <definedNames>
    <definedName name="_xlnm._FilterDatabase" localSheetId="5" hidden="1">test_rag_border01!$M$1:$M$94</definedName>
    <definedName name="_xlnm._FilterDatabase" localSheetId="6" hidden="1">test_rag_border02!$M$1:$M$94</definedName>
    <definedName name="_xlnm._FilterDatabase" localSheetId="7" hidden="1">test_rag_border03!$M$1:$M$94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9" l="1"/>
  <c r="K3" i="19"/>
  <c r="K2" i="19"/>
  <c r="I4" i="19"/>
  <c r="J4" i="19"/>
  <c r="I3" i="19"/>
  <c r="J3" i="19"/>
  <c r="J2" i="19"/>
  <c r="I2" i="19"/>
  <c r="H4" i="19"/>
  <c r="H3" i="19"/>
  <c r="H2" i="19"/>
  <c r="H2" i="1"/>
  <c r="C2" i="19"/>
  <c r="D2" i="19"/>
  <c r="C3" i="19"/>
  <c r="D3" i="19"/>
  <c r="C4" i="19"/>
  <c r="D4" i="19"/>
  <c r="B4" i="19"/>
  <c r="B3" i="19"/>
  <c r="B2" i="19"/>
  <c r="B2" i="1"/>
  <c r="M94" i="18"/>
  <c r="I94" i="18"/>
  <c r="M93" i="18"/>
  <c r="I93" i="18"/>
  <c r="M92" i="18"/>
  <c r="I92" i="18"/>
  <c r="M91" i="18"/>
  <c r="I91" i="18"/>
  <c r="M90" i="18"/>
  <c r="I90" i="18"/>
  <c r="M89" i="18"/>
  <c r="I89" i="18"/>
  <c r="M88" i="18"/>
  <c r="I88" i="18"/>
  <c r="M87" i="18"/>
  <c r="I87" i="18"/>
  <c r="M86" i="18"/>
  <c r="I86" i="18"/>
  <c r="M85" i="18"/>
  <c r="I85" i="18"/>
  <c r="M84" i="18"/>
  <c r="I84" i="18"/>
  <c r="M83" i="18"/>
  <c r="I83" i="18"/>
  <c r="M82" i="18"/>
  <c r="I82" i="18"/>
  <c r="M81" i="18"/>
  <c r="I81" i="18"/>
  <c r="M80" i="18"/>
  <c r="I80" i="18"/>
  <c r="M79" i="18"/>
  <c r="I79" i="18"/>
  <c r="M78" i="18"/>
  <c r="I78" i="18"/>
  <c r="M77" i="18"/>
  <c r="I77" i="18"/>
  <c r="M76" i="18"/>
  <c r="I76" i="18"/>
  <c r="M75" i="18"/>
  <c r="I75" i="18"/>
  <c r="M74" i="18"/>
  <c r="I74" i="18"/>
  <c r="M73" i="18"/>
  <c r="I73" i="18"/>
  <c r="M72" i="18"/>
  <c r="I72" i="18"/>
  <c r="M71" i="18"/>
  <c r="I71" i="18"/>
  <c r="M70" i="18"/>
  <c r="I70" i="18"/>
  <c r="M69" i="18"/>
  <c r="I69" i="18"/>
  <c r="M68" i="18"/>
  <c r="I68" i="18"/>
  <c r="M67" i="18"/>
  <c r="I67" i="18"/>
  <c r="M66" i="18"/>
  <c r="I66" i="18"/>
  <c r="M65" i="18"/>
  <c r="I65" i="18"/>
  <c r="M64" i="18"/>
  <c r="I64" i="18"/>
  <c r="M63" i="18"/>
  <c r="I63" i="18"/>
  <c r="M62" i="18"/>
  <c r="I62" i="18"/>
  <c r="M61" i="18"/>
  <c r="I61" i="18"/>
  <c r="M60" i="18"/>
  <c r="I60" i="18"/>
  <c r="M59" i="18"/>
  <c r="I59" i="18"/>
  <c r="M58" i="18"/>
  <c r="I58" i="18"/>
  <c r="M57" i="18"/>
  <c r="I57" i="18"/>
  <c r="M56" i="18"/>
  <c r="I56" i="18"/>
  <c r="M55" i="18"/>
  <c r="I55" i="18"/>
  <c r="M54" i="18"/>
  <c r="I54" i="18"/>
  <c r="M53" i="18"/>
  <c r="I53" i="18"/>
  <c r="M52" i="18"/>
  <c r="I52" i="18"/>
  <c r="M51" i="18"/>
  <c r="I51" i="18"/>
  <c r="M50" i="18"/>
  <c r="I50" i="18"/>
  <c r="M49" i="18"/>
  <c r="I49" i="18"/>
  <c r="M48" i="18"/>
  <c r="I48" i="18"/>
  <c r="M47" i="18"/>
  <c r="I47" i="18"/>
  <c r="M46" i="18"/>
  <c r="I46" i="18"/>
  <c r="M45" i="18"/>
  <c r="I45" i="18"/>
  <c r="M44" i="18"/>
  <c r="I44" i="18"/>
  <c r="M43" i="18"/>
  <c r="I43" i="18"/>
  <c r="M42" i="18"/>
  <c r="I42" i="18"/>
  <c r="M41" i="18"/>
  <c r="I41" i="18"/>
  <c r="M40" i="18"/>
  <c r="I40" i="18"/>
  <c r="M39" i="18"/>
  <c r="I39" i="18"/>
  <c r="M38" i="18"/>
  <c r="I38" i="18"/>
  <c r="M37" i="18"/>
  <c r="I37" i="18"/>
  <c r="M36" i="18"/>
  <c r="I36" i="18"/>
  <c r="M35" i="18"/>
  <c r="I35" i="18"/>
  <c r="M34" i="18"/>
  <c r="I34" i="18"/>
  <c r="M33" i="18"/>
  <c r="I33" i="18"/>
  <c r="M32" i="18"/>
  <c r="I32" i="18"/>
  <c r="M31" i="18"/>
  <c r="I31" i="18"/>
  <c r="M30" i="18"/>
  <c r="I30" i="18"/>
  <c r="M29" i="18"/>
  <c r="I29" i="18"/>
  <c r="M28" i="18"/>
  <c r="I28" i="18"/>
  <c r="M27" i="18"/>
  <c r="I27" i="18"/>
  <c r="M26" i="18"/>
  <c r="I26" i="18"/>
  <c r="M25" i="18"/>
  <c r="I25" i="18"/>
  <c r="M24" i="18"/>
  <c r="I24" i="18"/>
  <c r="M23" i="18"/>
  <c r="I23" i="18"/>
  <c r="M22" i="18"/>
  <c r="I22" i="18"/>
  <c r="M21" i="18"/>
  <c r="I21" i="18"/>
  <c r="M20" i="18"/>
  <c r="I20" i="18"/>
  <c r="M19" i="18"/>
  <c r="I19" i="18"/>
  <c r="M18" i="18"/>
  <c r="I18" i="18"/>
  <c r="M17" i="18"/>
  <c r="I17" i="18"/>
  <c r="M16" i="18"/>
  <c r="I16" i="18"/>
  <c r="M15" i="18"/>
  <c r="I15" i="18"/>
  <c r="M14" i="18"/>
  <c r="I14" i="18"/>
  <c r="M13" i="18"/>
  <c r="I13" i="18"/>
  <c r="M12" i="18"/>
  <c r="I12" i="18"/>
  <c r="M11" i="18"/>
  <c r="I11" i="18"/>
  <c r="M10" i="18"/>
  <c r="I10" i="18"/>
  <c r="O9" i="18"/>
  <c r="M9" i="18"/>
  <c r="I9" i="18"/>
  <c r="M8" i="18"/>
  <c r="I8" i="18"/>
  <c r="O7" i="18"/>
  <c r="M7" i="18"/>
  <c r="I7" i="18"/>
  <c r="M6" i="18"/>
  <c r="I6" i="18"/>
  <c r="O5" i="18"/>
  <c r="N5" i="18"/>
  <c r="M5" i="18"/>
  <c r="I5" i="18"/>
  <c r="M4" i="18"/>
  <c r="I4" i="18"/>
  <c r="M3" i="18"/>
  <c r="I3" i="18"/>
  <c r="P2" i="18"/>
  <c r="O2" i="18"/>
  <c r="N2" i="18"/>
  <c r="M2" i="18"/>
  <c r="I2" i="18"/>
  <c r="P5" i="18" s="1"/>
  <c r="M94" i="17"/>
  <c r="I94" i="17"/>
  <c r="M93" i="17"/>
  <c r="I93" i="17"/>
  <c r="M92" i="17"/>
  <c r="I92" i="17"/>
  <c r="M91" i="17"/>
  <c r="I91" i="17"/>
  <c r="M90" i="17"/>
  <c r="I90" i="17"/>
  <c r="M89" i="17"/>
  <c r="I89" i="17"/>
  <c r="M88" i="17"/>
  <c r="I88" i="17"/>
  <c r="M87" i="17"/>
  <c r="I87" i="17"/>
  <c r="M86" i="17"/>
  <c r="I86" i="17"/>
  <c r="M85" i="17"/>
  <c r="I85" i="17"/>
  <c r="M84" i="17"/>
  <c r="I84" i="17"/>
  <c r="M83" i="17"/>
  <c r="I83" i="17"/>
  <c r="M82" i="17"/>
  <c r="I82" i="17"/>
  <c r="M81" i="17"/>
  <c r="I81" i="17"/>
  <c r="M80" i="17"/>
  <c r="I80" i="17"/>
  <c r="M79" i="17"/>
  <c r="I79" i="17"/>
  <c r="M78" i="17"/>
  <c r="I78" i="17"/>
  <c r="M77" i="17"/>
  <c r="I77" i="17"/>
  <c r="M76" i="17"/>
  <c r="I76" i="17"/>
  <c r="M75" i="17"/>
  <c r="I75" i="17"/>
  <c r="M74" i="17"/>
  <c r="I74" i="17"/>
  <c r="M73" i="17"/>
  <c r="I73" i="17"/>
  <c r="M72" i="17"/>
  <c r="I72" i="17"/>
  <c r="M71" i="17"/>
  <c r="I71" i="17"/>
  <c r="M70" i="17"/>
  <c r="I70" i="17"/>
  <c r="M69" i="17"/>
  <c r="I69" i="17"/>
  <c r="M68" i="17"/>
  <c r="I68" i="17"/>
  <c r="M67" i="17"/>
  <c r="I67" i="17"/>
  <c r="M66" i="17"/>
  <c r="I66" i="17"/>
  <c r="M65" i="17"/>
  <c r="I65" i="17"/>
  <c r="M64" i="17"/>
  <c r="I64" i="17"/>
  <c r="M63" i="17"/>
  <c r="I63" i="17"/>
  <c r="M62" i="17"/>
  <c r="I62" i="17"/>
  <c r="M61" i="17"/>
  <c r="I61" i="17"/>
  <c r="M60" i="17"/>
  <c r="I60" i="17"/>
  <c r="M59" i="17"/>
  <c r="I59" i="17"/>
  <c r="M58" i="17"/>
  <c r="I58" i="17"/>
  <c r="M57" i="17"/>
  <c r="I57" i="17"/>
  <c r="M56" i="17"/>
  <c r="I56" i="17"/>
  <c r="M55" i="17"/>
  <c r="I55" i="17"/>
  <c r="M54" i="17"/>
  <c r="I54" i="17"/>
  <c r="M53" i="17"/>
  <c r="I53" i="17"/>
  <c r="M52" i="17"/>
  <c r="I52" i="17"/>
  <c r="M51" i="17"/>
  <c r="I51" i="17"/>
  <c r="M50" i="17"/>
  <c r="I50" i="17"/>
  <c r="M49" i="17"/>
  <c r="I49" i="17"/>
  <c r="M48" i="17"/>
  <c r="I48" i="17"/>
  <c r="M47" i="17"/>
  <c r="I47" i="17"/>
  <c r="M46" i="17"/>
  <c r="I46" i="17"/>
  <c r="M45" i="17"/>
  <c r="I45" i="17"/>
  <c r="M44" i="17"/>
  <c r="I44" i="17"/>
  <c r="M43" i="17"/>
  <c r="I43" i="17"/>
  <c r="M42" i="17"/>
  <c r="I42" i="17"/>
  <c r="M41" i="17"/>
  <c r="I41" i="17"/>
  <c r="M40" i="17"/>
  <c r="I40" i="17"/>
  <c r="M39" i="17"/>
  <c r="I39" i="17"/>
  <c r="M38" i="17"/>
  <c r="I38" i="17"/>
  <c r="M37" i="17"/>
  <c r="I37" i="17"/>
  <c r="M36" i="17"/>
  <c r="I36" i="17"/>
  <c r="M35" i="17"/>
  <c r="I35" i="17"/>
  <c r="M34" i="17"/>
  <c r="I34" i="17"/>
  <c r="M33" i="17"/>
  <c r="I33" i="17"/>
  <c r="M32" i="17"/>
  <c r="I32" i="17"/>
  <c r="M31" i="17"/>
  <c r="I31" i="17"/>
  <c r="M30" i="17"/>
  <c r="I30" i="17"/>
  <c r="M29" i="17"/>
  <c r="I29" i="17"/>
  <c r="M28" i="17"/>
  <c r="I28" i="17"/>
  <c r="M27" i="17"/>
  <c r="I27" i="17"/>
  <c r="M26" i="17"/>
  <c r="I26" i="17"/>
  <c r="M25" i="17"/>
  <c r="I25" i="17"/>
  <c r="M24" i="17"/>
  <c r="I24" i="17"/>
  <c r="M23" i="17"/>
  <c r="I23" i="17"/>
  <c r="M22" i="17"/>
  <c r="I22" i="17"/>
  <c r="M21" i="17"/>
  <c r="I21" i="17"/>
  <c r="M20" i="17"/>
  <c r="I20" i="17"/>
  <c r="M19" i="17"/>
  <c r="I19" i="17"/>
  <c r="M18" i="17"/>
  <c r="I18" i="17"/>
  <c r="M17" i="17"/>
  <c r="I17" i="17"/>
  <c r="M16" i="17"/>
  <c r="I16" i="17"/>
  <c r="M15" i="17"/>
  <c r="I15" i="17"/>
  <c r="M14" i="17"/>
  <c r="I14" i="17"/>
  <c r="M13" i="17"/>
  <c r="I13" i="17"/>
  <c r="M12" i="17"/>
  <c r="I12" i="17"/>
  <c r="M11" i="17"/>
  <c r="I11" i="17"/>
  <c r="M10" i="17"/>
  <c r="I10" i="17"/>
  <c r="O9" i="17"/>
  <c r="M9" i="17"/>
  <c r="I9" i="17"/>
  <c r="M8" i="17"/>
  <c r="I8" i="17"/>
  <c r="O7" i="17"/>
  <c r="M7" i="17"/>
  <c r="I7" i="17"/>
  <c r="M6" i="17"/>
  <c r="I6" i="17"/>
  <c r="O5" i="17"/>
  <c r="N5" i="17"/>
  <c r="M5" i="17"/>
  <c r="I5" i="17"/>
  <c r="M4" i="17"/>
  <c r="I4" i="17"/>
  <c r="M3" i="17"/>
  <c r="I3" i="17"/>
  <c r="P2" i="17"/>
  <c r="O2" i="17"/>
  <c r="N2" i="17"/>
  <c r="M2" i="17"/>
  <c r="I2" i="17"/>
  <c r="P5" i="17" s="1"/>
  <c r="M94" i="16"/>
  <c r="I94" i="16"/>
  <c r="M93" i="16"/>
  <c r="I93" i="16"/>
  <c r="M92" i="16"/>
  <c r="I92" i="16"/>
  <c r="M91" i="16"/>
  <c r="P2" i="16" s="1"/>
  <c r="I91" i="16"/>
  <c r="M90" i="16"/>
  <c r="I90" i="16"/>
  <c r="M89" i="16"/>
  <c r="I89" i="16"/>
  <c r="M88" i="16"/>
  <c r="I88" i="16"/>
  <c r="M87" i="16"/>
  <c r="I87" i="16"/>
  <c r="M86" i="16"/>
  <c r="I86" i="16"/>
  <c r="M85" i="16"/>
  <c r="I85" i="16"/>
  <c r="M84" i="16"/>
  <c r="I84" i="16"/>
  <c r="M83" i="16"/>
  <c r="I83" i="16"/>
  <c r="M82" i="16"/>
  <c r="I82" i="16"/>
  <c r="M81" i="16"/>
  <c r="I81" i="16"/>
  <c r="M80" i="16"/>
  <c r="I80" i="16"/>
  <c r="M79" i="16"/>
  <c r="I79" i="16"/>
  <c r="M78" i="16"/>
  <c r="I78" i="16"/>
  <c r="M77" i="16"/>
  <c r="I77" i="16"/>
  <c r="M76" i="16"/>
  <c r="I76" i="16"/>
  <c r="M75" i="16"/>
  <c r="I75" i="16"/>
  <c r="M74" i="16"/>
  <c r="I74" i="16"/>
  <c r="M73" i="16"/>
  <c r="I73" i="16"/>
  <c r="M72" i="16"/>
  <c r="I72" i="16"/>
  <c r="M71" i="16"/>
  <c r="I71" i="16"/>
  <c r="M70" i="16"/>
  <c r="I70" i="16"/>
  <c r="M69" i="16"/>
  <c r="I69" i="16"/>
  <c r="M68" i="16"/>
  <c r="I68" i="16"/>
  <c r="M67" i="16"/>
  <c r="I67" i="16"/>
  <c r="M66" i="16"/>
  <c r="I66" i="16"/>
  <c r="M65" i="16"/>
  <c r="I65" i="16"/>
  <c r="M64" i="16"/>
  <c r="I64" i="16"/>
  <c r="M63" i="16"/>
  <c r="I63" i="16"/>
  <c r="M62" i="16"/>
  <c r="I62" i="16"/>
  <c r="M61" i="16"/>
  <c r="I61" i="16"/>
  <c r="M60" i="16"/>
  <c r="I60" i="16"/>
  <c r="M59" i="16"/>
  <c r="I59" i="16"/>
  <c r="M58" i="16"/>
  <c r="I58" i="16"/>
  <c r="M57" i="16"/>
  <c r="I57" i="16"/>
  <c r="M56" i="16"/>
  <c r="I56" i="16"/>
  <c r="M55" i="16"/>
  <c r="I55" i="16"/>
  <c r="M54" i="16"/>
  <c r="I54" i="16"/>
  <c r="M53" i="16"/>
  <c r="I53" i="16"/>
  <c r="M52" i="16"/>
  <c r="I52" i="16"/>
  <c r="M51" i="16"/>
  <c r="I51" i="16"/>
  <c r="M50" i="16"/>
  <c r="I50" i="16"/>
  <c r="M49" i="16"/>
  <c r="I49" i="16"/>
  <c r="M48" i="16"/>
  <c r="I48" i="16"/>
  <c r="M47" i="16"/>
  <c r="I47" i="16"/>
  <c r="M46" i="16"/>
  <c r="I46" i="16"/>
  <c r="M45" i="16"/>
  <c r="I45" i="16"/>
  <c r="M44" i="16"/>
  <c r="I44" i="16"/>
  <c r="M43" i="16"/>
  <c r="I43" i="16"/>
  <c r="M42" i="16"/>
  <c r="I42" i="16"/>
  <c r="M41" i="16"/>
  <c r="I41" i="16"/>
  <c r="M40" i="16"/>
  <c r="I40" i="16"/>
  <c r="M39" i="16"/>
  <c r="I39" i="16"/>
  <c r="M38" i="16"/>
  <c r="I38" i="16"/>
  <c r="M37" i="16"/>
  <c r="I37" i="16"/>
  <c r="M36" i="16"/>
  <c r="I36" i="16"/>
  <c r="M35" i="16"/>
  <c r="I35" i="16"/>
  <c r="M34" i="16"/>
  <c r="I34" i="16"/>
  <c r="M33" i="16"/>
  <c r="I33" i="16"/>
  <c r="M32" i="16"/>
  <c r="I32" i="16"/>
  <c r="M31" i="16"/>
  <c r="I31" i="16"/>
  <c r="M30" i="16"/>
  <c r="I30" i="16"/>
  <c r="M29" i="16"/>
  <c r="I29" i="16"/>
  <c r="M28" i="16"/>
  <c r="I28" i="16"/>
  <c r="M27" i="16"/>
  <c r="I27" i="16"/>
  <c r="M26" i="16"/>
  <c r="I26" i="16"/>
  <c r="M25" i="16"/>
  <c r="I25" i="16"/>
  <c r="M24" i="16"/>
  <c r="I24" i="16"/>
  <c r="M23" i="16"/>
  <c r="I23" i="16"/>
  <c r="M22" i="16"/>
  <c r="I22" i="16"/>
  <c r="M21" i="16"/>
  <c r="I21" i="16"/>
  <c r="M20" i="16"/>
  <c r="I20" i="16"/>
  <c r="M19" i="16"/>
  <c r="I19" i="16"/>
  <c r="M18" i="16"/>
  <c r="I18" i="16"/>
  <c r="M17" i="16"/>
  <c r="I17" i="16"/>
  <c r="M16" i="16"/>
  <c r="I16" i="16"/>
  <c r="M15" i="16"/>
  <c r="I15" i="16"/>
  <c r="M14" i="16"/>
  <c r="I14" i="16"/>
  <c r="M13" i="16"/>
  <c r="I13" i="16"/>
  <c r="M12" i="16"/>
  <c r="I12" i="16"/>
  <c r="M11" i="16"/>
  <c r="I11" i="16"/>
  <c r="M10" i="16"/>
  <c r="I10" i="16"/>
  <c r="O9" i="16"/>
  <c r="M9" i="16"/>
  <c r="I9" i="16"/>
  <c r="M8" i="16"/>
  <c r="I8" i="16"/>
  <c r="O7" i="16"/>
  <c r="M7" i="16"/>
  <c r="I7" i="16"/>
  <c r="M6" i="16"/>
  <c r="I6" i="16"/>
  <c r="P5" i="16"/>
  <c r="O5" i="16"/>
  <c r="N5" i="16"/>
  <c r="M5" i="16"/>
  <c r="I5" i="16"/>
  <c r="M4" i="16"/>
  <c r="I4" i="16"/>
  <c r="M3" i="16"/>
  <c r="I3" i="16"/>
  <c r="O2" i="16"/>
  <c r="N2" i="16"/>
  <c r="M2" i="16"/>
  <c r="I2" i="16"/>
  <c r="F24" i="15"/>
  <c r="F23" i="15"/>
  <c r="F22" i="15"/>
  <c r="F21" i="15"/>
  <c r="F20" i="15"/>
  <c r="F19" i="15"/>
  <c r="F18" i="15"/>
  <c r="F17" i="15"/>
  <c r="F16" i="15"/>
  <c r="F15" i="15"/>
  <c r="F14" i="15"/>
  <c r="F13" i="15"/>
  <c r="F12" i="15"/>
  <c r="F11" i="15"/>
  <c r="F10" i="15"/>
  <c r="F9" i="15"/>
  <c r="F8" i="15"/>
  <c r="F7" i="15"/>
  <c r="F6" i="15"/>
  <c r="F5" i="15"/>
  <c r="F4" i="15"/>
  <c r="F3" i="15"/>
  <c r="F2" i="15"/>
  <c r="M94" i="5"/>
  <c r="I94" i="5"/>
  <c r="M93" i="5"/>
  <c r="I93" i="5"/>
  <c r="M92" i="5"/>
  <c r="I92" i="5"/>
  <c r="M91" i="5"/>
  <c r="I91" i="5"/>
  <c r="M90" i="5"/>
  <c r="I90" i="5"/>
  <c r="M89" i="5"/>
  <c r="I89" i="5"/>
  <c r="M88" i="5"/>
  <c r="I88" i="5"/>
  <c r="M87" i="5"/>
  <c r="I87" i="5"/>
  <c r="M86" i="5"/>
  <c r="I86" i="5"/>
  <c r="M85" i="5"/>
  <c r="I85" i="5"/>
  <c r="M84" i="5"/>
  <c r="I84" i="5"/>
  <c r="M83" i="5"/>
  <c r="I83" i="5"/>
  <c r="M82" i="5"/>
  <c r="I82" i="5"/>
  <c r="M81" i="5"/>
  <c r="I81" i="5"/>
  <c r="M80" i="5"/>
  <c r="I80" i="5"/>
  <c r="M79" i="5"/>
  <c r="I79" i="5"/>
  <c r="M78" i="5"/>
  <c r="I78" i="5"/>
  <c r="M77" i="5"/>
  <c r="I77" i="5"/>
  <c r="M76" i="5"/>
  <c r="I76" i="5"/>
  <c r="M75" i="5"/>
  <c r="I75" i="5"/>
  <c r="M74" i="5"/>
  <c r="I74" i="5"/>
  <c r="M73" i="5"/>
  <c r="I73" i="5"/>
  <c r="M72" i="5"/>
  <c r="I72" i="5"/>
  <c r="M71" i="5"/>
  <c r="I71" i="5"/>
  <c r="M70" i="5"/>
  <c r="I70" i="5"/>
  <c r="M69" i="5"/>
  <c r="I69" i="5"/>
  <c r="M68" i="5"/>
  <c r="I68" i="5"/>
  <c r="M67" i="5"/>
  <c r="I67" i="5"/>
  <c r="M66" i="5"/>
  <c r="I66" i="5"/>
  <c r="M65" i="5"/>
  <c r="I65" i="5"/>
  <c r="M64" i="5"/>
  <c r="I64" i="5"/>
  <c r="M63" i="5"/>
  <c r="I63" i="5"/>
  <c r="M62" i="5"/>
  <c r="I62" i="5"/>
  <c r="M61" i="5"/>
  <c r="I61" i="5"/>
  <c r="M60" i="5"/>
  <c r="I60" i="5"/>
  <c r="M59" i="5"/>
  <c r="I59" i="5"/>
  <c r="M58" i="5"/>
  <c r="I58" i="5"/>
  <c r="M57" i="5"/>
  <c r="I57" i="5"/>
  <c r="M56" i="5"/>
  <c r="I56" i="5"/>
  <c r="M55" i="5"/>
  <c r="I55" i="5"/>
  <c r="M54" i="5"/>
  <c r="I54" i="5"/>
  <c r="M53" i="5"/>
  <c r="I53" i="5"/>
  <c r="M52" i="5"/>
  <c r="I52" i="5"/>
  <c r="M51" i="5"/>
  <c r="I51" i="5"/>
  <c r="M50" i="5"/>
  <c r="I50" i="5"/>
  <c r="M49" i="5"/>
  <c r="I49" i="5"/>
  <c r="M48" i="5"/>
  <c r="I48" i="5"/>
  <c r="M47" i="5"/>
  <c r="I47" i="5"/>
  <c r="M46" i="5"/>
  <c r="I46" i="5"/>
  <c r="M45" i="5"/>
  <c r="I45" i="5"/>
  <c r="M44" i="5"/>
  <c r="I44" i="5"/>
  <c r="M43" i="5"/>
  <c r="I43" i="5"/>
  <c r="M42" i="5"/>
  <c r="I42" i="5"/>
  <c r="M41" i="5"/>
  <c r="I41" i="5"/>
  <c r="M40" i="5"/>
  <c r="I40" i="5"/>
  <c r="M39" i="5"/>
  <c r="I39" i="5"/>
  <c r="M38" i="5"/>
  <c r="I38" i="5"/>
  <c r="M37" i="5"/>
  <c r="I37" i="5"/>
  <c r="M36" i="5"/>
  <c r="I36" i="5"/>
  <c r="M35" i="5"/>
  <c r="I35" i="5"/>
  <c r="M34" i="5"/>
  <c r="I34" i="5"/>
  <c r="M33" i="5"/>
  <c r="I33" i="5"/>
  <c r="M32" i="5"/>
  <c r="I32" i="5"/>
  <c r="M31" i="5"/>
  <c r="I31" i="5"/>
  <c r="M30" i="5"/>
  <c r="I30" i="5"/>
  <c r="M29" i="5"/>
  <c r="I29" i="5"/>
  <c r="M28" i="5"/>
  <c r="I28" i="5"/>
  <c r="M27" i="5"/>
  <c r="I27" i="5"/>
  <c r="M26" i="5"/>
  <c r="I26" i="5"/>
  <c r="M25" i="5"/>
  <c r="I25" i="5"/>
  <c r="M24" i="5"/>
  <c r="I24" i="5"/>
  <c r="M23" i="5"/>
  <c r="I23" i="5"/>
  <c r="M22" i="5"/>
  <c r="I22" i="5"/>
  <c r="M21" i="5"/>
  <c r="I21" i="5"/>
  <c r="M20" i="5"/>
  <c r="I20" i="5"/>
  <c r="M19" i="5"/>
  <c r="I19" i="5"/>
  <c r="M18" i="5"/>
  <c r="I18" i="5"/>
  <c r="M17" i="5"/>
  <c r="I17" i="5"/>
  <c r="M16" i="5"/>
  <c r="I16" i="5"/>
  <c r="M15" i="5"/>
  <c r="I15" i="5"/>
  <c r="M14" i="5"/>
  <c r="I14" i="5"/>
  <c r="M13" i="5"/>
  <c r="I13" i="5"/>
  <c r="M12" i="5"/>
  <c r="I12" i="5"/>
  <c r="M11" i="5"/>
  <c r="I11" i="5"/>
  <c r="M10" i="5"/>
  <c r="I10" i="5"/>
  <c r="O9" i="5"/>
  <c r="M9" i="5"/>
  <c r="I9" i="5"/>
  <c r="M8" i="5"/>
  <c r="P2" i="5" s="1"/>
  <c r="J4" i="1" s="1"/>
  <c r="I8" i="5"/>
  <c r="O7" i="5"/>
  <c r="M7" i="5"/>
  <c r="I7" i="5"/>
  <c r="M6" i="5"/>
  <c r="I6" i="5"/>
  <c r="O5" i="5"/>
  <c r="N5" i="5"/>
  <c r="B4" i="1" s="1"/>
  <c r="M5" i="5"/>
  <c r="I5" i="5"/>
  <c r="M4" i="5"/>
  <c r="I4" i="5"/>
  <c r="M3" i="5"/>
  <c r="I3" i="5"/>
  <c r="O2" i="5"/>
  <c r="I4" i="1" s="1"/>
  <c r="N2" i="5"/>
  <c r="M2" i="5"/>
  <c r="I2" i="5"/>
  <c r="P5" i="5" s="1"/>
  <c r="D4" i="1" s="1"/>
  <c r="M94" i="3"/>
  <c r="I94" i="3"/>
  <c r="M93" i="3"/>
  <c r="I93" i="3"/>
  <c r="M92" i="3"/>
  <c r="I92" i="3"/>
  <c r="M91" i="3"/>
  <c r="I91" i="3"/>
  <c r="M90" i="3"/>
  <c r="I90" i="3"/>
  <c r="M89" i="3"/>
  <c r="I89" i="3"/>
  <c r="M88" i="3"/>
  <c r="I88" i="3"/>
  <c r="M87" i="3"/>
  <c r="I87" i="3"/>
  <c r="M86" i="3"/>
  <c r="I86" i="3"/>
  <c r="M85" i="3"/>
  <c r="I85" i="3"/>
  <c r="M84" i="3"/>
  <c r="I84" i="3"/>
  <c r="M83" i="3"/>
  <c r="I83" i="3"/>
  <c r="M82" i="3"/>
  <c r="I82" i="3"/>
  <c r="M81" i="3"/>
  <c r="I81" i="3"/>
  <c r="M80" i="3"/>
  <c r="I80" i="3"/>
  <c r="M79" i="3"/>
  <c r="I79" i="3"/>
  <c r="M78" i="3"/>
  <c r="I78" i="3"/>
  <c r="M77" i="3"/>
  <c r="I77" i="3"/>
  <c r="M76" i="3"/>
  <c r="I76" i="3"/>
  <c r="M75" i="3"/>
  <c r="I75" i="3"/>
  <c r="M74" i="3"/>
  <c r="I74" i="3"/>
  <c r="M73" i="3"/>
  <c r="I73" i="3"/>
  <c r="M72" i="3"/>
  <c r="I72" i="3"/>
  <c r="M71" i="3"/>
  <c r="I71" i="3"/>
  <c r="M70" i="3"/>
  <c r="I70" i="3"/>
  <c r="M69" i="3"/>
  <c r="I69" i="3"/>
  <c r="M68" i="3"/>
  <c r="I68" i="3"/>
  <c r="M67" i="3"/>
  <c r="I67" i="3"/>
  <c r="M66" i="3"/>
  <c r="I66" i="3"/>
  <c r="M65" i="3"/>
  <c r="I65" i="3"/>
  <c r="M64" i="3"/>
  <c r="I64" i="3"/>
  <c r="M63" i="3"/>
  <c r="I63" i="3"/>
  <c r="M62" i="3"/>
  <c r="I62" i="3"/>
  <c r="M61" i="3"/>
  <c r="I61" i="3"/>
  <c r="M60" i="3"/>
  <c r="I60" i="3"/>
  <c r="M59" i="3"/>
  <c r="I59" i="3"/>
  <c r="M58" i="3"/>
  <c r="I58" i="3"/>
  <c r="M57" i="3"/>
  <c r="I57" i="3"/>
  <c r="M56" i="3"/>
  <c r="I56" i="3"/>
  <c r="M55" i="3"/>
  <c r="I55" i="3"/>
  <c r="M54" i="3"/>
  <c r="I54" i="3"/>
  <c r="M53" i="3"/>
  <c r="I53" i="3"/>
  <c r="M52" i="3"/>
  <c r="I52" i="3"/>
  <c r="M51" i="3"/>
  <c r="I51" i="3"/>
  <c r="M50" i="3"/>
  <c r="I50" i="3"/>
  <c r="M49" i="3"/>
  <c r="I49" i="3"/>
  <c r="M48" i="3"/>
  <c r="I48" i="3"/>
  <c r="M47" i="3"/>
  <c r="I47" i="3"/>
  <c r="M46" i="3"/>
  <c r="I46" i="3"/>
  <c r="M45" i="3"/>
  <c r="I45" i="3"/>
  <c r="M44" i="3"/>
  <c r="I44" i="3"/>
  <c r="M43" i="3"/>
  <c r="I43" i="3"/>
  <c r="M42" i="3"/>
  <c r="I42" i="3"/>
  <c r="M41" i="3"/>
  <c r="I41" i="3"/>
  <c r="M40" i="3"/>
  <c r="I40" i="3"/>
  <c r="M39" i="3"/>
  <c r="I39" i="3"/>
  <c r="M38" i="3"/>
  <c r="I38" i="3"/>
  <c r="M37" i="3"/>
  <c r="I37" i="3"/>
  <c r="M36" i="3"/>
  <c r="I36" i="3"/>
  <c r="M35" i="3"/>
  <c r="I35" i="3"/>
  <c r="M34" i="3"/>
  <c r="I34" i="3"/>
  <c r="M33" i="3"/>
  <c r="I33" i="3"/>
  <c r="M32" i="3"/>
  <c r="I32" i="3"/>
  <c r="M31" i="3"/>
  <c r="I31" i="3"/>
  <c r="M30" i="3"/>
  <c r="I30" i="3"/>
  <c r="M29" i="3"/>
  <c r="I29" i="3"/>
  <c r="M28" i="3"/>
  <c r="I28" i="3"/>
  <c r="M27" i="3"/>
  <c r="I27" i="3"/>
  <c r="M26" i="3"/>
  <c r="I26" i="3"/>
  <c r="M25" i="3"/>
  <c r="I25" i="3"/>
  <c r="M24" i="3"/>
  <c r="I24" i="3"/>
  <c r="M23" i="3"/>
  <c r="I23" i="3"/>
  <c r="M22" i="3"/>
  <c r="I22" i="3"/>
  <c r="M21" i="3"/>
  <c r="I21" i="3"/>
  <c r="M20" i="3"/>
  <c r="I20" i="3"/>
  <c r="M19" i="3"/>
  <c r="I19" i="3"/>
  <c r="M18" i="3"/>
  <c r="I18" i="3"/>
  <c r="M17" i="3"/>
  <c r="I17" i="3"/>
  <c r="M16" i="3"/>
  <c r="I16" i="3"/>
  <c r="M15" i="3"/>
  <c r="I15" i="3"/>
  <c r="M14" i="3"/>
  <c r="I14" i="3"/>
  <c r="M13" i="3"/>
  <c r="I13" i="3"/>
  <c r="M12" i="3"/>
  <c r="I12" i="3"/>
  <c r="M11" i="3"/>
  <c r="I11" i="3"/>
  <c r="M10" i="3"/>
  <c r="I10" i="3"/>
  <c r="O9" i="3"/>
  <c r="M9" i="3"/>
  <c r="I9" i="3"/>
  <c r="M8" i="3"/>
  <c r="I8" i="3"/>
  <c r="O7" i="3"/>
  <c r="M7" i="3"/>
  <c r="I7" i="3"/>
  <c r="M6" i="3"/>
  <c r="I6" i="3"/>
  <c r="O5" i="3"/>
  <c r="N5" i="3"/>
  <c r="M5" i="3"/>
  <c r="I5" i="3"/>
  <c r="M4" i="3"/>
  <c r="P2" i="3" s="1"/>
  <c r="J3" i="1" s="1"/>
  <c r="I4" i="3"/>
  <c r="M3" i="3"/>
  <c r="I3" i="3"/>
  <c r="O2" i="3"/>
  <c r="N2" i="3"/>
  <c r="M2" i="3"/>
  <c r="I2" i="3"/>
  <c r="P5" i="3" s="1"/>
  <c r="D3" i="1" s="1"/>
  <c r="M94" i="2"/>
  <c r="I94" i="2"/>
  <c r="M93" i="2"/>
  <c r="I93" i="2"/>
  <c r="M92" i="2"/>
  <c r="I92" i="2"/>
  <c r="M91" i="2"/>
  <c r="I91" i="2"/>
  <c r="M90" i="2"/>
  <c r="I90" i="2"/>
  <c r="M89" i="2"/>
  <c r="I89" i="2"/>
  <c r="M88" i="2"/>
  <c r="I88" i="2"/>
  <c r="M87" i="2"/>
  <c r="I87" i="2"/>
  <c r="M86" i="2"/>
  <c r="I86" i="2"/>
  <c r="M85" i="2"/>
  <c r="I85" i="2"/>
  <c r="M84" i="2"/>
  <c r="I84" i="2"/>
  <c r="M83" i="2"/>
  <c r="I83" i="2"/>
  <c r="M82" i="2"/>
  <c r="I82" i="2"/>
  <c r="M81" i="2"/>
  <c r="I81" i="2"/>
  <c r="M80" i="2"/>
  <c r="I80" i="2"/>
  <c r="M79" i="2"/>
  <c r="I79" i="2"/>
  <c r="M78" i="2"/>
  <c r="I78" i="2"/>
  <c r="M77" i="2"/>
  <c r="I77" i="2"/>
  <c r="M76" i="2"/>
  <c r="I76" i="2"/>
  <c r="M75" i="2"/>
  <c r="I75" i="2"/>
  <c r="M74" i="2"/>
  <c r="I74" i="2"/>
  <c r="M73" i="2"/>
  <c r="I73" i="2"/>
  <c r="M72" i="2"/>
  <c r="I72" i="2"/>
  <c r="M71" i="2"/>
  <c r="I71" i="2"/>
  <c r="M70" i="2"/>
  <c r="I70" i="2"/>
  <c r="M69" i="2"/>
  <c r="I69" i="2"/>
  <c r="M68" i="2"/>
  <c r="I68" i="2"/>
  <c r="M67" i="2"/>
  <c r="I67" i="2"/>
  <c r="M66" i="2"/>
  <c r="I66" i="2"/>
  <c r="M65" i="2"/>
  <c r="I65" i="2"/>
  <c r="M64" i="2"/>
  <c r="I64" i="2"/>
  <c r="M63" i="2"/>
  <c r="I63" i="2"/>
  <c r="M62" i="2"/>
  <c r="I62" i="2"/>
  <c r="M61" i="2"/>
  <c r="I61" i="2"/>
  <c r="M60" i="2"/>
  <c r="I60" i="2"/>
  <c r="M59" i="2"/>
  <c r="I59" i="2"/>
  <c r="M58" i="2"/>
  <c r="I58" i="2"/>
  <c r="M57" i="2"/>
  <c r="I57" i="2"/>
  <c r="M56" i="2"/>
  <c r="I56" i="2"/>
  <c r="M55" i="2"/>
  <c r="I55" i="2"/>
  <c r="M54" i="2"/>
  <c r="I54" i="2"/>
  <c r="M53" i="2"/>
  <c r="I53" i="2"/>
  <c r="M52" i="2"/>
  <c r="I52" i="2"/>
  <c r="M51" i="2"/>
  <c r="I51" i="2"/>
  <c r="M50" i="2"/>
  <c r="I50" i="2"/>
  <c r="M49" i="2"/>
  <c r="I49" i="2"/>
  <c r="M48" i="2"/>
  <c r="I48" i="2"/>
  <c r="M47" i="2"/>
  <c r="I47" i="2"/>
  <c r="M46" i="2"/>
  <c r="I46" i="2"/>
  <c r="M45" i="2"/>
  <c r="I45" i="2"/>
  <c r="M44" i="2"/>
  <c r="I44" i="2"/>
  <c r="M43" i="2"/>
  <c r="I43" i="2"/>
  <c r="M42" i="2"/>
  <c r="I42" i="2"/>
  <c r="M41" i="2"/>
  <c r="I41" i="2"/>
  <c r="M40" i="2"/>
  <c r="I40" i="2"/>
  <c r="M39" i="2"/>
  <c r="I39" i="2"/>
  <c r="M38" i="2"/>
  <c r="I38" i="2"/>
  <c r="M37" i="2"/>
  <c r="I37" i="2"/>
  <c r="M36" i="2"/>
  <c r="I36" i="2"/>
  <c r="M35" i="2"/>
  <c r="I35" i="2"/>
  <c r="M34" i="2"/>
  <c r="I34" i="2"/>
  <c r="M33" i="2"/>
  <c r="I33" i="2"/>
  <c r="M32" i="2"/>
  <c r="I32" i="2"/>
  <c r="M31" i="2"/>
  <c r="I31" i="2"/>
  <c r="M30" i="2"/>
  <c r="I30" i="2"/>
  <c r="M29" i="2"/>
  <c r="I29" i="2"/>
  <c r="M28" i="2"/>
  <c r="I28" i="2"/>
  <c r="M27" i="2"/>
  <c r="I27" i="2"/>
  <c r="M26" i="2"/>
  <c r="I26" i="2"/>
  <c r="M25" i="2"/>
  <c r="I25" i="2"/>
  <c r="M24" i="2"/>
  <c r="I24" i="2"/>
  <c r="M23" i="2"/>
  <c r="I23" i="2"/>
  <c r="M22" i="2"/>
  <c r="I22" i="2"/>
  <c r="M21" i="2"/>
  <c r="I21" i="2"/>
  <c r="M20" i="2"/>
  <c r="I20" i="2"/>
  <c r="M19" i="2"/>
  <c r="I19" i="2"/>
  <c r="M18" i="2"/>
  <c r="I18" i="2"/>
  <c r="M17" i="2"/>
  <c r="I17" i="2"/>
  <c r="M16" i="2"/>
  <c r="I16" i="2"/>
  <c r="M15" i="2"/>
  <c r="I15" i="2"/>
  <c r="M14" i="2"/>
  <c r="I14" i="2"/>
  <c r="M13" i="2"/>
  <c r="I13" i="2"/>
  <c r="M12" i="2"/>
  <c r="I12" i="2"/>
  <c r="M11" i="2"/>
  <c r="I11" i="2"/>
  <c r="M10" i="2"/>
  <c r="I10" i="2"/>
  <c r="O9" i="2"/>
  <c r="M9" i="2"/>
  <c r="I9" i="2"/>
  <c r="M8" i="2"/>
  <c r="I8" i="2"/>
  <c r="O7" i="2"/>
  <c r="K2" i="1" s="1"/>
  <c r="M7" i="2"/>
  <c r="I7" i="2"/>
  <c r="M6" i="2"/>
  <c r="I6" i="2"/>
  <c r="O5" i="2"/>
  <c r="N5" i="2"/>
  <c r="M5" i="2"/>
  <c r="I5" i="2"/>
  <c r="M4" i="2"/>
  <c r="I4" i="2"/>
  <c r="M3" i="2"/>
  <c r="I3" i="2"/>
  <c r="P5" i="2" s="1"/>
  <c r="D2" i="1" s="1"/>
  <c r="O2" i="2"/>
  <c r="N2" i="2"/>
  <c r="M2" i="2"/>
  <c r="P2" i="2" s="1"/>
  <c r="J2" i="1" s="1"/>
  <c r="I2" i="2"/>
  <c r="K4" i="1"/>
  <c r="H4" i="1"/>
  <c r="C4" i="1"/>
  <c r="K3" i="1"/>
  <c r="I3" i="1"/>
  <c r="H3" i="1"/>
  <c r="C3" i="1"/>
  <c r="B3" i="1"/>
  <c r="I2" i="1"/>
  <c r="C2" i="1"/>
</calcChain>
</file>

<file path=xl/sharedStrings.xml><?xml version="1.0" encoding="utf-8"?>
<sst xmlns="http://schemas.openxmlformats.org/spreadsheetml/2006/main" count="3531" uniqueCount="1054">
  <si>
    <t>欲求推論</t>
  </si>
  <si>
    <t>適合率</t>
  </si>
  <si>
    <t>再現率</t>
  </si>
  <si>
    <t>F値平均</t>
  </si>
  <si>
    <t>物推論</t>
  </si>
  <si>
    <t>平均トークン数</t>
  </si>
  <si>
    <t>閾値：0.10</t>
  </si>
  <si>
    <t>閾値：0.20</t>
  </si>
  <si>
    <t>閾値：0.30</t>
  </si>
  <si>
    <t>発話事例</t>
  </si>
  <si>
    <t>欲求の種類</t>
  </si>
  <si>
    <t>正解の物</t>
  </si>
  <si>
    <t>rag出力</t>
  </si>
  <si>
    <t>物の出力</t>
  </si>
  <si>
    <t>部屋</t>
  </si>
  <si>
    <t>適合率(欲求)</t>
  </si>
  <si>
    <t>再現率(欲求)</t>
  </si>
  <si>
    <t>F値(欲求)</t>
  </si>
  <si>
    <t>適合率(物)</t>
  </si>
  <si>
    <t>再現率(物)</t>
  </si>
  <si>
    <t>トークン数</t>
  </si>
  <si>
    <t>F値（物）</t>
  </si>
  <si>
    <t>Is there something to wipe my nose? If so where is it?</t>
  </si>
  <si>
    <t>Emission,Order</t>
  </si>
  <si>
    <t>tissue,table,toilet paper</t>
  </si>
  <si>
    <t>Emission,Breathing,Conservance,Sensory,Toxicity avoidance,Nursing,Exhibition,Thirst,Nurturance,Order,Exposition,Injury avoidance,Sleep,Temperature,Retention,Construction,Achievement,Sexual,Laziness,Cognizance</t>
  </si>
  <si>
    <t>tissue</t>
  </si>
  <si>
    <t>living room</t>
  </si>
  <si>
    <t>Where can I take a nap?</t>
  </si>
  <si>
    <t>Laziness,Sleep</t>
  </si>
  <si>
    <t>bed,chair,sofa,private room,floor</t>
  </si>
  <si>
    <t>Sleep,Laziness,Play,Nursing,Thirst,Nurturance,Sensory,Hunger,Injury avoidance,Temperature,Achievement,Breathing,Conservance,Emission,Exhibition,Cognizance,Sexual,Order,Exposition,Retention</t>
  </si>
  <si>
    <t>bed,sofa,private room</t>
  </si>
  <si>
    <t>living room,bedroom,bathroom,kitchen</t>
  </si>
  <si>
    <t>Where can I wash my hands?</t>
  </si>
  <si>
    <t>Toxicity avoidance</t>
  </si>
  <si>
    <t>sink,faucet,toilet</t>
  </si>
  <si>
    <t>Conservance,Emission,Toxicity avoidance,Nursing,Nurturance,Sensory,Exhibition,Thirst,Temperature,Exposition,Breathing,Retention,Injury avoidance,Order,Play,Sexual,Construction,Sleep,Hunger,Cognizance</t>
  </si>
  <si>
    <t>bathroom counter,towel,sink,soap</t>
  </si>
  <si>
    <t>bathroom,kitchen</t>
  </si>
  <si>
    <t>Where should I store fruits that I want to last long?</t>
  </si>
  <si>
    <t>Conservance,Order</t>
  </si>
  <si>
    <t>refrigerator,kitchen cabinet</t>
  </si>
  <si>
    <t>Hunger,Retention,Conservance,Order,Construction,Thirst,Nursing,Exhibition,Nurturance,Acquisition,Sleep,Sensory,Injury avoidance,Play,Sexual,Temperature,Laziness,Toxicity avoidance,Achievement,Exposition</t>
  </si>
  <si>
    <t>refrigerator,kitchen cabinet,bowl of dishes</t>
  </si>
  <si>
    <t>kitchen</t>
  </si>
  <si>
    <t>Where can I take notes?</t>
  </si>
  <si>
    <t>Cognizance,Exposition</t>
  </si>
  <si>
    <t>desk,table,computer,mobile phone</t>
  </si>
  <si>
    <t>Cognizance,Exposition,Sensory,Acquisition,Achievement,Order,Construction,Exhibition,Retention,Conservance,Play,Injury avoidance,Breathing,Nurturance,Sleep,Toxicity avoidance,Laziness,Emission,Nursing,Thirst</t>
  </si>
  <si>
    <t>folder,computer,desk,notebook,bookshelf</t>
  </si>
  <si>
    <t>living room,kitchen</t>
  </si>
  <si>
    <t>平均トークン</t>
  </si>
  <si>
    <t>Where can I brush my teeth?</t>
  </si>
  <si>
    <t>Conservance,Toxicity avoidance</t>
  </si>
  <si>
    <t>toothbrush,toothpaste,faucet,sink,toilet</t>
  </si>
  <si>
    <t>Toxicity avoidance,Conservance,Nursing,Nurturance,Emission,Sleep,Retention,Exhibition,Breathing,Sensory,Injury avoidance,Thirst,Exposition,Order,Hunger,Sexual,Achievement,Construction,Play,Acquisition</t>
  </si>
  <si>
    <t>bathroom counter,sink,toilet,toothpaste,toothbrush</t>
  </si>
  <si>
    <t>Where can I set if I want to warmup?</t>
  </si>
  <si>
    <t>Temperature</t>
  </si>
  <si>
    <t>stove,bed</t>
  </si>
  <si>
    <t>Temperature,Play,Laziness,Injury avoidance,Thirst,Sleep,Achievement,Hunger,Conservance,Exhibition,Nursing,Order,Sensory,Emission,Exposition,Breathing,Acquisition,Nurturance,Cognizance,Toxicity avoidance</t>
  </si>
  <si>
    <t>oven tray,stove</t>
  </si>
  <si>
    <t>標準偏差</t>
  </si>
  <si>
    <t>Where can I check my appearance?</t>
  </si>
  <si>
    <t>Order,Exhibition,Exposition</t>
  </si>
  <si>
    <t>mirror</t>
  </si>
  <si>
    <t>Exhibition,Construction,Order,Sexual,Sensory,Exposition,Cognizance,Breathing,Conservance,Injury avoidance,Achievement,Emission,Temperature,Sleep,Hunger,Acquisition,Thirst,Retention,Nurturance,Nursing</t>
  </si>
  <si>
    <t>bathroom counter,hanger,mirror,face cream,soap</t>
  </si>
  <si>
    <t>Where should I put my jackets?</t>
  </si>
  <si>
    <t>Order,Conservance</t>
  </si>
  <si>
    <t>closet,hanger</t>
  </si>
  <si>
    <t>Exhibition,Temperature,Order,Retention,Sexual,Exposition,Injury avoidance,Nursing,Sleep,Hunger,Conservance,Construction,Acquisition,Emission,Thirst,Sensory,Laziness,Play,Nurturance,Achievement</t>
  </si>
  <si>
    <t>hanger,closet</t>
  </si>
  <si>
    <t>living room,bedroom,bathroom</t>
  </si>
  <si>
    <t>Where can my kids go to read?</t>
  </si>
  <si>
    <t>Play,Cognizance</t>
  </si>
  <si>
    <t>book,chair,table,bed,sofa,desk</t>
  </si>
  <si>
    <t>Cognizance,Play,Nursing,Exposition,Laziness,Order,Acquisition,Achievement,Nurturance,Conservance,Toxicity avoidance,Sleep</t>
  </si>
  <si>
    <t>bookshelf,books,desk</t>
  </si>
  <si>
    <t>living room,bedroom,kitchen</t>
  </si>
  <si>
    <t>Where can I put my jacket?</t>
  </si>
  <si>
    <t>hanger,closet,sofa,towel rack</t>
  </si>
  <si>
    <t>Where can I wipe my shoes?</t>
  </si>
  <si>
    <t>cleaning sponge,rug</t>
  </si>
  <si>
    <t>Emission,Injury avoidance,Conservance,Exhibition,Order,Toxicity avoidance,Nurturance,Retention,Sensory,Achievement,Sexual,Exposition,Construction,Thirst,Nursing,Acquisition,Sleep,Laziness,Breathing,Play</t>
  </si>
  <si>
    <t>rug,door</t>
  </si>
  <si>
    <t>Where can I put my hat?</t>
  </si>
  <si>
    <t>Order</t>
  </si>
  <si>
    <t>closet,closet drawers,hanger,desk,table</t>
  </si>
  <si>
    <t>Exhibition,Construction,Exposition,Temperature,Sleep,Order,Hunger,Laziness,Play,Achievement,Thirst,Nursing,Sexual,Retention,Acquisition,Injury avoidance,Emission,Conservance,Sensory,Nurturance</t>
  </si>
  <si>
    <t>hanger,sofa,kitchen table,nightstand,chair,closet,desk</t>
  </si>
  <si>
    <t>I want to take a nap.</t>
  </si>
  <si>
    <t>Sleep,Laziness</t>
  </si>
  <si>
    <t>bed,sofa,pillow,private room</t>
  </si>
  <si>
    <t>Where can I sit and eat if I don't want to use the dining table?</t>
  </si>
  <si>
    <t>Hunger</t>
  </si>
  <si>
    <t>desk,chair,sofa,private room, kitchen counter, kitchen table</t>
  </si>
  <si>
    <t>Exposition,Play,Hunger,Cognizance,Achievement,Order,Acquisition,Nursing,Laziness,Sleep,Toxicity avoidance,Conservance,Thirst,Construction,Exhibition,Retention,Sexual,Nurturance,Emission,Temperature</t>
  </si>
  <si>
    <t>sofa,bed,private room,chair,nightstand</t>
  </si>
  <si>
    <t>Where can I put my apples?</t>
  </si>
  <si>
    <t>wall shelf,kitchen cabinet,kitchen counter,table,desk,kitchen table,dish</t>
  </si>
  <si>
    <t>Exposition,Hunger,Construction,Acquisition,Order,Sexual,Retention,Exhibition,Play,Laziness,Sleep,Achievement,Sensory,Thirst,Nursing,Conservance,Cognizance,Temperature,Emission,Injury avoidance</t>
  </si>
  <si>
    <t>bowl of dishes,refrigerator,kitchen table,kitchen cabinet,desk</t>
  </si>
  <si>
    <t>Where can I dry my shoes when I come into the house?</t>
  </si>
  <si>
    <t>rug,floor</t>
  </si>
  <si>
    <t>Conservance,Injury avoidance,Thirst,Temperature,Retention,Nursing,Order,Play,Exhibition,Sleep,Laziness,Sexual,Acquisition,Sensory,Nurturance,Exposition,Toxicity avoidance,Construction,Emission,Hunger</t>
  </si>
  <si>
    <t>hanger,towel rack,ventilation fan</t>
  </si>
  <si>
    <t>Where can I lay down and read a book?</t>
  </si>
  <si>
    <t>Laziness,Sleep,Cognizance</t>
  </si>
  <si>
    <t>bed,sofa,floor,private room</t>
  </si>
  <si>
    <t>Play,Achievement,Cognizance,Laziness,Acquisition,Exposition,Sleep,Sensory,Nursing,Order,Hunger,Breathing,Construction,Thirst,Temperature,Exhibition,Conservance,Injury avoidance,Retention,Nurturance</t>
  </si>
  <si>
    <t>bed,sofa</t>
  </si>
  <si>
    <t>Where can I warm up?</t>
  </si>
  <si>
    <t>Temperature,Sensory desire</t>
  </si>
  <si>
    <t>Temperature,Play,Thirst,Injury avoidance,Conservance,Laziness,Hunger,Nursing,Sleep,Breathing,Exhibition,Emission,Sensory,Order,Nurturance,Toxicity avoidance,Exposition,Retention,Acquisition,Cognizance</t>
  </si>
  <si>
    <t>oven,stove,bathtub,electric fan,ventilation fan,sofa</t>
  </si>
  <si>
    <t>Where can I get drinking water?</t>
  </si>
  <si>
    <t>Thirst</t>
  </si>
  <si>
    <t>sink,water glass,faucet,mug,refrigerator</t>
  </si>
  <si>
    <t>Thirst,Toxicity avoidance,Conservance,Nursing,Temperature,Breathing,Hunger,Emission,Play,Nurturance,Injury avoidance,Sensory,Achievement,Order,Acquisition,Cognizance,Exposition,Sleep,Exhibition,Retention</t>
  </si>
  <si>
    <t>refrigerator,water glass,faucet,sink</t>
  </si>
  <si>
    <t>living room,bathroom,kitchen</t>
  </si>
  <si>
    <t>Where can I wash my hands on the second story of the house?</t>
  </si>
  <si>
    <t>Order,Toxicity avoidance,Emission</t>
  </si>
  <si>
    <t>sink,soap,faucet,toilet</t>
  </si>
  <si>
    <t>Conservance,Nursing,Nurturance,Toxicity avoidance,Emission,Exhibition,Sensory,Exposition,Order,Play,Thirst,Retention,Temperature,Sexual,Construction,Sleep,Breathing,Acquisition,Laziness,Injury avoidance</t>
  </si>
  <si>
    <t>bathroom,sink,soap,towel</t>
  </si>
  <si>
    <t>Where can I hang my towel so I don't have to leave the shower to dry off?</t>
  </si>
  <si>
    <t>towel rack,hanger</t>
  </si>
  <si>
    <t>Conservance,Exhibition,Retention,Nursing,Play,Sleep,Emission,Order,Toxicity avoidance,Nurturance,Sensory,Thirst,Injury avoidance,Laziness,Temperature,Sexual,Construction,Breathing,Exposition,Achievement</t>
  </si>
  <si>
    <t>where can I keep a photo frame?</t>
  </si>
  <si>
    <t>wall picture frame,wall shelf,desk,table</t>
  </si>
  <si>
    <t>Construction,Retention,Order,Exhibition,Conservance,Exposition,Acquisition,Play,Achievement,Sleep,Injury avoidance,Nurturance,Nursing,Thirst,Cognizance,Laziness,Sensory,Temperature,Hunger,Sexual</t>
  </si>
  <si>
    <t>sofa,kitchen table,nightstand,desk,bookshelf,wall picture frame</t>
  </si>
  <si>
    <t>where can I keep a couple of apples?</t>
  </si>
  <si>
    <t>Retention,Conservance,Order</t>
  </si>
  <si>
    <t>wall shelf,kitchen cabinet,kitchen counter,table,desk,refrigerator</t>
  </si>
  <si>
    <t>Retention,Conservance,Order,Injury avoidance,Nurturance,Acquisition,Nursing,Breathing,Construction,Play,Toxicity avoidance,Hunger,Temperature,Sexual,Emission,Exhibition,Sensory,Sleep,Laziness,Thirst</t>
  </si>
  <si>
    <t>refrigerator,kitchen cabinet,bowl of dishes,kitchen table</t>
  </si>
  <si>
    <t>where can I keep a new ironed shirt?</t>
  </si>
  <si>
    <t>Retention,Order,Conservance,Exhibition,Nursing,Injury avoidance,Construction,Breathing,Temperature,Acquisition,Sexual,Emission,Thirst,Achievement,Toxicity avoidance,Nurturance,Exposition,Sleep,Play,Laziness</t>
  </si>
  <si>
    <t>where can I sit?</t>
  </si>
  <si>
    <t>Laziness</t>
  </si>
  <si>
    <t>chair,sofa,bed,rug</t>
  </si>
  <si>
    <t>Laziness,Play,Cognizance,Exposition,Acquisition,Nursing,Injury avoidance,Order,Sleep,Achievement,Emission,Sensory,Temperature,Thirst,Hunger,Toxicity avoidance,Exhibition,Sexual,Retention,Nurturance</t>
  </si>
  <si>
    <t>bed,sofa,chair,kitchen table,desk</t>
  </si>
  <si>
    <t>where can I keep the keyboard</t>
  </si>
  <si>
    <t>desk,table</t>
  </si>
  <si>
    <t>Retention,Acquisition,Achievement,Play,Exposition,Conservance,Cognizance,Order,Laziness,Toxicity avoidance,Sleep,Nursing,Construction,Breathing,Injury avoidance,Nurturance,Emission,Temperature,Exhibition,Sensory</t>
  </si>
  <si>
    <t>desk,table,sofa,nightstand,keyboard holder</t>
  </si>
  <si>
    <t>where can I keep a small container with chalks?</t>
  </si>
  <si>
    <t>desk,box,table</t>
  </si>
  <si>
    <t>Retention,Conservance,Order,Exhibition,Toxicity avoidance,Injury avoidance,Exposition,Nursing,Construction,Nurturance,Thirst,Sensory,Acquisition,Play,Emission,Breathing,Cognizance,Achievement,Hunger,Temperature</t>
  </si>
  <si>
    <t>bowl of dishes,kitchen table,nightstand,desk,closet,cabinet</t>
  </si>
  <si>
    <t>where can I store clothes?</t>
  </si>
  <si>
    <t>Order,Conservance,Retention</t>
  </si>
  <si>
    <t>closet,closet drawers,hanger</t>
  </si>
  <si>
    <t>Retention,Conservance,Exhibition,Order,Nursing,Sexual,Temperature,Sleep,Construction,Injury avoidance,Acquisition,Hunger,Emission,Sensory,Nurturance,Breathing,Thirst,Play,Exposition,Toxicity avoidance</t>
  </si>
  <si>
    <t>hanger,closet,closet drawers</t>
  </si>
  <si>
    <t>where can I store books</t>
  </si>
  <si>
    <t>wall shelf,bookshelf</t>
  </si>
  <si>
    <t>Retention,Acquisition,Order,Conservance,Play,Construction,Exposition,Exhibition,Achievement,Laziness,Sleep,Sexual,Hunger,Nursing,Cognizance,Injury avoidance,Thirst,Emission,Sensory,Nurturance</t>
  </si>
  <si>
    <t>bookshelf,closet,desk,nightstand,books</t>
  </si>
  <si>
    <t>Where can I place a glass of water?</t>
  </si>
  <si>
    <t>Order,Conservance,Thirst</t>
  </si>
  <si>
    <t>table,desk,kitchen counter,sink,refrigerator</t>
  </si>
  <si>
    <t>Thirst,Construction,Exposition,Play,Exhibition,Order,Temperature,Cognizance,Retention,Conservance,Sensory,Hunger,Toxicity avoidance,Nursing,Acquisition,Sleep,Achievement,Sexual,Injury avoidance,Laziness</t>
  </si>
  <si>
    <t>kitchen table,bathroom counter,nightstand,sofa,desk</t>
  </si>
  <si>
    <t>Where can I relax and watch TV</t>
  </si>
  <si>
    <t>Laziness,Play</t>
  </si>
  <si>
    <t>chair,sofa,TV,television,bed</t>
  </si>
  <si>
    <t>Play,Cognizance,Laziness,Exhibition,Sensory,Exposition,Achievement,Order,Conservance,Nursing,Acquisition,Sleep,Temperature,Retention,Nurturance,Sexual,Injury avoidance,Toxicity avoidance,Breathing,Construction</t>
  </si>
  <si>
    <t>sofa,bed,private room,TV,television,TV stand</t>
  </si>
  <si>
    <t>where can i find something to drink</t>
  </si>
  <si>
    <t>sink,faucet,refrigerator,table,desk</t>
  </si>
  <si>
    <t>Thirst,Hunger,Temperature,Play,Nursing,Toxicity avoidance,Injury avoidance,Sensory,Sleep,Breathing,Laziness,Conservance,Cognizance,Exhibition,Order,Exposition,Acquisition,Achievement,Sexual,Emission</t>
  </si>
  <si>
    <t>refrigerator,coffee pot,water glass,wine glass,mug,faucet</t>
  </si>
  <si>
    <t>Where can i relax a bit</t>
  </si>
  <si>
    <t>chair,bed,rug,sofa,bathtub,private room</t>
  </si>
  <si>
    <t>Play,Laziness,Sleep,Sensory,Injury avoidance,Temperature,Breathing,Thirst,Achievement,Order,Exhibition,Nurturance,Cognizance,Emission,Nursing,Sexual,Conservance,Retention,Exposition,Toxicity avoidance</t>
  </si>
  <si>
    <t>bed,sofa,private room,bathroom,bathtub,towel,desk,chair,TV,table lamp,nightstand</t>
  </si>
  <si>
    <t>Where can I use the bathroom?</t>
  </si>
  <si>
    <t>Emission</t>
  </si>
  <si>
    <t>toilet</t>
  </si>
  <si>
    <t>Emission,Nursing,Toxicity avoidance,Conservance,Play,Sleep,Sensory,Thirst,Exhibition,Nurturance,Laziness,Breathing,Order,Temperature,Injury avoidance,Sexual,Hunger,Retention,Exposition,Achievement</t>
  </si>
  <si>
    <t>bathroom,toilet,private room</t>
  </si>
  <si>
    <t>bathroom</t>
  </si>
  <si>
    <t>Where can I clean fruit while facing the dining room table?</t>
  </si>
  <si>
    <t>Toxicity avoidance,Order</t>
  </si>
  <si>
    <t>sink,kitchen counter</t>
  </si>
  <si>
    <t>Order,Conservance,Exposition,Toxicity avoidance,Nursing,Hunger,Cognizance,Play,Exhibition,Nurturance,Achievement,Emission,Thirst,Acquisition,Construction,Laziness,Sleep,Retention,Sexual,Sensory</t>
  </si>
  <si>
    <t>kitchen table,sink</t>
  </si>
  <si>
    <t>Where can I put my scarf?</t>
  </si>
  <si>
    <t>closet,hanger,closet drawers</t>
  </si>
  <si>
    <t>Exhibition,Sexual,Construction,Sleep,Injury avoidance,Retention,Order,Temperature,Exposition,Breathing,Nursing,Hunger,Play,Acquisition,Sensory,Laziness,Conservance,Thirst,Emission,Nurturance</t>
  </si>
  <si>
    <t>hanger,nightstand,sofa,closet,chair</t>
  </si>
  <si>
    <t>Where can I find the time?</t>
  </si>
  <si>
    <t>Order,Cognizance</t>
  </si>
  <si>
    <t>TV,cell phone,computer</t>
  </si>
  <si>
    <t>Achievement,Cognizance,Sleep,Play,Laziness,Temperature,Thirst,Exposition,Exhibition,Acquisition,Hunger,Construction,Sensory,Order,Emission,Conservance,Sexual,Injury avoidance,Breathing</t>
  </si>
  <si>
    <t>mobile phone,wall clock,desk,computer,nightstand</t>
  </si>
  <si>
    <t>Where can I watch a movie?</t>
  </si>
  <si>
    <t>Play</t>
  </si>
  <si>
    <t>TV,sofa,chair,television</t>
  </si>
  <si>
    <t>Play,Laziness,Sensory,Sleep,Exhibition,Achievement,Cognizance,Exposition,Sexual,Nursing,Temperature,Order,Thirst,Construction,Conservance,Nurturance,Injury avoidance,Acquisition,Hunger,Retention</t>
  </si>
  <si>
    <t>TV,computer</t>
  </si>
  <si>
    <t>I need to take a nap.</t>
  </si>
  <si>
    <t>bed,chair,sofa,pillow</t>
  </si>
  <si>
    <t>Where can I find the pink bowl?</t>
  </si>
  <si>
    <t>Hunger,Order,Acquisition</t>
  </si>
  <si>
    <t>bowl,kitchen cabinet, kitchen counter,kitchen table,dishwasher</t>
  </si>
  <si>
    <t>Hunger,Sensory,Play,Nursing,Exhibition,Thirst,Order,Toxicity avoidance,Cognizance,Conservance,Emission,Nurturance,Construction,Laziness,Exposition,Achievement,Sexual,Retention,Acquisition,Sleep</t>
  </si>
  <si>
    <t>bowl of dishes</t>
  </si>
  <si>
    <t>Where can I store my luggage?</t>
  </si>
  <si>
    <t>Order,Retention</t>
  </si>
  <si>
    <t>closet,closet drawers,wall shelf,cabinet,box</t>
  </si>
  <si>
    <t>Retention,Conservance,Exhibition,Order,Play,Nursing,Sleep,Injury avoidance,Laziness,Acquisition,Nurturance,Exposition,Sensory,Cognizance,Hunger,Sexual,Emission,Achievement,Toxicity avoidance,Construction</t>
  </si>
  <si>
    <t>private room,closet,locker</t>
  </si>
  <si>
    <t>Where can I find my toothbrush?</t>
  </si>
  <si>
    <t>bathroom cabinet,toothbrush,toothpaste,sink</t>
  </si>
  <si>
    <t>Toxicity avoidance,Conservance,Retention,Nursing,Nurturance,Sleep,Exhibition,Order,Injury avoidance,Sensory,Thirst,Play,Emission,Sexual,Cognizance,Breathing,Acquisition,Construction,Exposition,Laziness</t>
  </si>
  <si>
    <t>bathroom counter,bathroomcabinet,sink,toothbrush</t>
  </si>
  <si>
    <t>Where can I get water?</t>
  </si>
  <si>
    <t>Thirst,Acquisition</t>
  </si>
  <si>
    <t>Thirst,Conservance,Temperature,Nurturance,Acquisition,Toxicity avoidance,Hunger,Nursing,Emission,Play,Breathing,Sensory,Achievement,Injury avoidance,Order,Cognizance,Retention,Exhibition,Construction,Exposition</t>
  </si>
  <si>
    <t>Where can I store my undergarments?</t>
  </si>
  <si>
    <t>Retention,Conservance,Exhibition,Sexual,Nursing,Order,Injury avoidance,Emission,Nurturance,Sensory,Temperature,Toxicity avoidance,Sleep,Breathing,Construction,Play,Acquisition,Thirst,Hunger,Laziness</t>
  </si>
  <si>
    <t>closet,private room,drawer</t>
  </si>
  <si>
    <t>Where can I charge my laptop?</t>
  </si>
  <si>
    <t>Conservance,Acquisition</t>
  </si>
  <si>
    <t>power socket,table,desk,computer</t>
  </si>
  <si>
    <t>Acquisition,Laziness,Achievement,Play,Exposition,Sleep,Cognizance,Thirst,Conservance,Temperature,Hunger,Nursing,Construction,Retention,Nurturance</t>
  </si>
  <si>
    <t>power socket,computer</t>
  </si>
  <si>
    <t>Where can you see the lamp?</t>
  </si>
  <si>
    <t>table lamp,ceiling lamp,wall lamp,nightstand</t>
  </si>
  <si>
    <t>Sleep,Exposition,Cognizance,Laziness,Exhibition,Construction,Sensory,Thirst,Sexual,Play,Temperature,Conservance,Acquisition,Achievement,Injury avoidance,Nursing,Order,Hunger,Emission,Toxicity avoidance</t>
  </si>
  <si>
    <t>ceiling lamp,table lamp,wall lamp</t>
  </si>
  <si>
    <t>Where can I keep my shirt?</t>
  </si>
  <si>
    <t>hanger,closet,closet drawers,shirt</t>
  </si>
  <si>
    <t>Retention,Exhibition,Order,Sexual,Nursing,Conservance,Injury avoidance,Breathing,Temperature,Emission,Exposition,Nurturance,Acquisition,Thirst,Toxicity avoidance,Sleep,Sensory,Construction,Hunger,Laziness</t>
  </si>
  <si>
    <t>Where can the baby play?</t>
  </si>
  <si>
    <t>rug,private room,sofa,floor</t>
  </si>
  <si>
    <t>Nursing,Play,Nurturance,Laziness,Sensory,Sleep,Injury avoidance,Toxicity avoidance,Order,Exhibition,Retention,Conservance,Sexual,Cognizance,Hunger,Temperature,Exposition,Acquisition,Construction,Breathing</t>
  </si>
  <si>
    <t>bed,sofa,private room,table,chair,rug</t>
  </si>
  <si>
    <t>Where can the adult take a nap?</t>
  </si>
  <si>
    <t>Where can you change baby's diaper?</t>
  </si>
  <si>
    <t>Emission,Nursing,Order</t>
  </si>
  <si>
    <t>bed,toilet,bathtub,floor</t>
  </si>
  <si>
    <t>Nursing,Emission,Nurturance,Conservance,Sensory,Injury avoidance,Toxicity avoidance,Order,Sexual,Exhibition,Sleep,Breathing,Retention,Play,Hunger,Temperature,Construction,Laziness,Thirst,Exposition</t>
  </si>
  <si>
    <t>bathroom counter,private room,bathroomcabinet,toilet</t>
  </si>
  <si>
    <t>Where can I write math equations?</t>
  </si>
  <si>
    <t>desk,table,computer,call phone</t>
  </si>
  <si>
    <t>Exposition,Emission,Nursing,Acquisition,Exhibition,Construction,Achievement,Hunger,Sexual,Thirst,Temperature,Order,Sleep,Nurturance,Cognizance,Conservance,Sensory,Retention,Play,Injury avoidance</t>
  </si>
  <si>
    <t>computer,desk</t>
  </si>
  <si>
    <t>Where can I dry my hands?</t>
  </si>
  <si>
    <t>towel,sink,faucet</t>
  </si>
  <si>
    <t>Thirst,Conservance,Temperature,Nursing,Sensory,Nurturance,Emission,Exhibition,Retention,Exposition,Injury avoidance,Toxicity avoidance,Breathing,Play,Construction,Sexual,Order,Hunger,Achievement,Sleep</t>
  </si>
  <si>
    <t>towel,hanger</t>
  </si>
  <si>
    <t>Where can I have a seat?</t>
  </si>
  <si>
    <t>chair,sofa,bed,rug,sofa,floor</t>
  </si>
  <si>
    <t>Play,Laziness,Exposition,Cognizance,Sleep,Sensory,Acquisition,Achievement,Nursing,Emission,Thirst,Order,Exhibition,Temperature,Injury avoidance,Sexual,Retention,Conservance,Hunger,Construction</t>
  </si>
  <si>
    <t>chair,kitchen table,sofa,desk,nightstand</t>
  </si>
  <si>
    <t>Where can I sit down and rest?</t>
  </si>
  <si>
    <t>sofa,bed,rug,chair</t>
  </si>
  <si>
    <t>Laziness,Sleep,Play,Injury avoidance,Thirst,Nursing,Temperature,Cognizance,Sensory,Hunger,Exposition,Breathing,Order,Achievement,Conservance,Nurturance,Acquisition,Emission,Toxicity avoidance,Exhibition</t>
  </si>
  <si>
    <t>bed,sofa,chair,nightstand,table</t>
  </si>
  <si>
    <t>Where can I store some fruits so that they last long?</t>
  </si>
  <si>
    <t>Order,Conservance,Toxicity avoidance</t>
  </si>
  <si>
    <t>refrigerator,wall shelf</t>
  </si>
  <si>
    <t>Hunger,Retention,Conservance,Thirst,Construction,Order,Nursing,Acquisition,Play,Sleep,Temperature,Injury avoidance,Sensory,Toxicity avoidance,Nurturance,Exhibition,Laziness,Sexual,Achievement,Exposition</t>
  </si>
  <si>
    <t>Where can I get some pop drinks?</t>
  </si>
  <si>
    <t>Thirst,Hunger,Sensory desire</t>
  </si>
  <si>
    <t>refrigerator</t>
  </si>
  <si>
    <t>Thirst,Hunger,Play,Sensory,Acquisition,Achievement,Breathing,Injury avoidance,Temperature,Sleep,Laziness,Nursing,Toxicity avoidance,Exhibition,Conservance,Cognizance,Sexual,Emission,Retention,Exposition</t>
  </si>
  <si>
    <t>refrigerator, syrup</t>
  </si>
  <si>
    <t>Where can I throw away paper waste in this room?</t>
  </si>
  <si>
    <t>Order,Emission</t>
  </si>
  <si>
    <t>garbage</t>
  </si>
  <si>
    <t>Emission,Play,Conservance,Toxicity avoidance,Order,Exhibition,Retention,Laziness,Nursing,Sleep,Exposition,Injury avoidance,Sexual,Achievement,Nurturance,Acquisition,Temperature,Breathing,Sensory,Thirst</t>
  </si>
  <si>
    <t>garbage,folder</t>
  </si>
  <si>
    <t>where can I sit to rest?</t>
  </si>
  <si>
    <t>Laziness,Sleep,Play,Injury avoidance,Nursing,Thirst,Cognizance,Temperature,Exposition,Sensory,Breathing,Achievement,Hunger,Order,Nurturance,Acquisition,Conservance,Emission,Toxicity avoidance,Exhibition</t>
  </si>
  <si>
    <t>bed,sofa,chair</t>
  </si>
  <si>
    <t>where can I place my food for comfortably having lunch?</t>
  </si>
  <si>
    <t>Hunger,Order</t>
  </si>
  <si>
    <t>table,desk,dish,kitchen table</t>
  </si>
  <si>
    <t>Hunger,Exposition,Nursing,Laziness,Acquisition,Order,Achievement,Nurturance,Emission,Play,Thirst,Sleep,Retention,Cognizance,Conservance,Construction,Exhibition,Sensory,Temperature,Sexual</t>
  </si>
  <si>
    <t>kitchen table,desk,sofa</t>
  </si>
  <si>
    <t>Where can I place a bottle of shampoo while I shower?</t>
  </si>
  <si>
    <t>Order,Injury avoidance</t>
  </si>
  <si>
    <t>bathroom cabinet,bathroom counter</t>
  </si>
  <si>
    <t>Thirst,Nursing,Retention,Sensory,Play,Order,Construction,Exhibition,Toxicity avoidance,Conservance,Injury avoidance,Hunger,Temperature,Emission,Nurturance,Exposition,Breathing,Sleep,Acquisition,Sexual</t>
  </si>
  <si>
    <t>bathroom counter,bathroomcabinet,sink,towel rack,shower</t>
  </si>
  <si>
    <t>Where can I place another towel to dry?</t>
  </si>
  <si>
    <t>towel rack,bathroom counter,hanger,closet,closet drawer,ceiling,cabinet,wall shelf</t>
  </si>
  <si>
    <t>Nursing,Conservance,Emission,Order,Nurturance,Retention,Injury avoidance,Play,Temperature,Exhibition,Toxicity avoidance,Sleep,Sensory,Thirst,Laziness,Sexual,Construction,Exposition,Breathing,Acquisition</t>
  </si>
  <si>
    <t>hanger,bathroom counter,towel rack,closet,chair</t>
  </si>
  <si>
    <t>Where can I charge my computer?</t>
  </si>
  <si>
    <t>Conservance,Retention,Acquisition</t>
  </si>
  <si>
    <t>Acquisition,Achievement,Exposition,Cognizance,Laziness,Play,Conservance,Hunger,Temperature,Thirst,Sleep,Construction,Nursing,Nurturance,Order</t>
  </si>
  <si>
    <t>power socket,kitchen table,desk</t>
  </si>
  <si>
    <t>Where can I dispose of small bathroom waste items like tissue paper?</t>
  </si>
  <si>
    <t>Emission,Conservance,Toxicity avoidance,Order,Retention,Nursing,Exhibition,Play,Sensory,Nurturance,Sleep,Injury avoidance,Thirst,Breathing,Construction,Sexual,Laziness,Temperature,Acquisition,Exposition</t>
  </si>
  <si>
    <t>tissue,garbage</t>
  </si>
  <si>
    <t>Where can I set up a place to study?</t>
  </si>
  <si>
    <t>desk,table,computer,chair</t>
  </si>
  <si>
    <t>Order,Exposition,Acquisition,Play,Achievement,Construction,Exhibition,Conservance,Cognizance,Sleep,Nursing,Laziness,Retention,Nurturance,Temperature,Injury avoidance,Sensory,Toxicity avoidance,Sexual,Hunger</t>
  </si>
  <si>
    <t>desk,computer,bookshelf,private room,chair,table</t>
  </si>
  <si>
    <t>Where can you find a painting?</t>
  </si>
  <si>
    <t>Cognizance,play</t>
  </si>
  <si>
    <t>wall picture frame,book,TV,television</t>
  </si>
  <si>
    <t>Exhibition,Construction,Exposition,Acquisition,Cognizance,Play,Order,Sensory,Thirst,Sleep,Achievement,Laziness,Conservance,Injury avoidance,Hunger,Retention,Toxicity avoidance,Sexual,Nursing,Nurturance</t>
  </si>
  <si>
    <t>wall picture frame</t>
  </si>
  <si>
    <t>Where can I work in this place?</t>
  </si>
  <si>
    <t>Cognizance</t>
  </si>
  <si>
    <t>desk,table,chair,computer</t>
  </si>
  <si>
    <t>Achievement,Play,Exhibition,Acquisition,Exposition,Order,Construction,Conservance,Temperature,Cognizance,Laziness,Sexual,Emission,Nursing,Sensory,Thirst,Nurturance,Sleep,Hunger,Injury avoidance</t>
  </si>
  <si>
    <t>desk,chair,computer,bookshelf,printer,folder,TV,private room</t>
  </si>
  <si>
    <t>Where can I sit to work?</t>
  </si>
  <si>
    <t>Achievement,Cognizance</t>
  </si>
  <si>
    <t>chair,desk,computer,sofa</t>
  </si>
  <si>
    <t>Laziness,Achievement,Emission,Exposition,Play,Cognizance,Acquisition,Injury avoidance,Sleep,Nursing,Sensory,Order,Toxicity avoidance,Conservance,Nurturance,Retention,Exhibition,Sexual,Construction,Breathing</t>
  </si>
  <si>
    <t>desk,chair,kitchen table</t>
  </si>
  <si>
    <t>Where can I rest?</t>
  </si>
  <si>
    <t>bed,chair,sofa,rug,floor,bathtub</t>
  </si>
  <si>
    <t>Sleep,Laziness,Play,Thirst,Nursing,Injury avoidance,Nurturance,Temperature,Order,Conservance,Hunger,Breathing,Cognizance,Sensory,Acquisition,Retention,Exhibition,Achievement,Sexual,Emission</t>
  </si>
  <si>
    <t>bed,sofa,bathroom minced meat,bathtub,nightstand,private room,toilet,chair</t>
  </si>
  <si>
    <t>Where can I write something?</t>
  </si>
  <si>
    <t>Exposition,Exhibition,Construction,Achievement,Cognizance,Play,Acquisition,Order,Emission,Conservance,Retention,Sexual,Laziness,Sensory,Thirst,Nursing,Nurturance,Sleep,Injury avoidance,Toxicity avoidance</t>
  </si>
  <si>
    <t>book,folder,computer,desk,notebook,wall</t>
  </si>
  <si>
    <t>Where should I put my jackets and shoes?</t>
  </si>
  <si>
    <t>closet</t>
  </si>
  <si>
    <t>Exhibition,Injury avoidance,Temperature,Sexual,Order,Retention,Nursing,Conservance,Construction,Acquisition,Sleep,Exposition,Hunger,Achievement,Sensory,Laziness,Thirst,Nurturance,Emission,Play</t>
  </si>
  <si>
    <t>hanger,closet,shoe rack</t>
  </si>
  <si>
    <t>After washing my hands in the sink,what should I use to dry my hands?</t>
  </si>
  <si>
    <t>towel,tissue,towel rack</t>
  </si>
  <si>
    <t>Conservance,Thirst,Toxicity avoidance,Emission,Nursing,Nurturance,Order,Sensory,Exhibition,Retention,Exposition,Play,Temperature,Construction,Achievement,Sleep,Acquisition,Injury avoidance,Hunger,Cognizance</t>
  </si>
  <si>
    <t>towel</t>
  </si>
  <si>
    <t>I want to host a dinner party on a summer evening,where should I set the table?</t>
  </si>
  <si>
    <t>Hunger,Play,Construction</t>
  </si>
  <si>
    <t>kitchen table,table,sofa,chair,privete room</t>
  </si>
  <si>
    <t>Play,Exposition,Hunger,Order,Achievement,Sleep,Exhibition,Conservance,Acquisition,Temperature,Cognizance,Thirst,Construction,Laziness,Retention,Sexual,Sensory,Nurturance,Nursing,Emission</t>
  </si>
  <si>
    <t>kitchen table,water glass,wine glass,chair</t>
  </si>
  <si>
    <t>I need to charge my laptop,where can I find a power outlet?</t>
  </si>
  <si>
    <t>computer</t>
  </si>
  <si>
    <t>Acquisition,Play,Laziness,Achievement,Exposition,Cognizance,Sleep,Conservance,Temperature,Thirst,Hunger,Nursing,Retention,Order,Injury avoidance,Nurturance,Exhibition,Toxicity avoidance,Breathing,Sexual</t>
  </si>
  <si>
    <t>power socket</t>
  </si>
  <si>
    <t>Where should I look if I want to research a topic?</t>
  </si>
  <si>
    <t>computer,book,CPU screen</t>
  </si>
  <si>
    <t>Cognizance,Exposition,Achievement,Acquisition,Exhibition,Temperature,Construction,Sensory,Nurturance,Conservance,Play,Thirst,Breathing,Nursing,Laziness,Order,Toxicity avoidance,Sleep,Injury avoidance,Emission</t>
  </si>
  <si>
    <t>books,computer</t>
  </si>
  <si>
    <t>living room,bedroom</t>
  </si>
  <si>
    <t>Where should I sit to watch tv?</t>
  </si>
  <si>
    <t>Laziness,Play,Cognizance</t>
  </si>
  <si>
    <t>chair,sofa</t>
  </si>
  <si>
    <t>sofa,chair,TV,television,TV stand</t>
  </si>
  <si>
    <t>Where should I take a nap?</t>
  </si>
  <si>
    <t>bed,chair,sofa,rug</t>
  </si>
  <si>
    <t>Where should I sleep if I need to charge my phone?</t>
  </si>
  <si>
    <t>Sleep,Retention</t>
  </si>
  <si>
    <t>bed,power socket,sofa,chair</t>
  </si>
  <si>
    <t>Play,Conservance,Acquisition,Thirst,Hunger,Achievement,Exposition,Cognizance,Sleep,Sexual,Temperature,Nurturance,Nursing,Laziness,Retention,Exhibition,Construction,Order,Breathing,Injury avoidance</t>
  </si>
  <si>
    <t>bed,power socket,private room,nightstand</t>
  </si>
  <si>
    <t>Where should I sit if I don't want to move anything?</t>
  </si>
  <si>
    <t>Order,Laziness</t>
  </si>
  <si>
    <t>Laziness,Play,Order,Cognizance,Injury avoidance,Acquisition,Retention,Exposition,Toxicity avoidance,Sleep,Achievement,Nursing,Construction,Emission,Conservance,Temperature,Sensory,Exhibition,Sexual,Hunger</t>
  </si>
  <si>
    <t>bed,sofa,chair,nightstand,desk,table,TV</t>
  </si>
  <si>
    <t>Where should I sit if I want to work?</t>
  </si>
  <si>
    <t>Cognizance,Acquisition</t>
  </si>
  <si>
    <t>chair,desk,computer,table</t>
  </si>
  <si>
    <t>Cognizance,Achievement,Acquisition,Exposition,Laziness,Play,Order,Construction,Nursing,Sleep,Temperature,Toxicity avoidance,Exhibition,Thirst,Injury avoidance,Hunger,Emission,Conservance,Nurturance,Sexual</t>
  </si>
  <si>
    <t>desk,chair,computer</t>
  </si>
  <si>
    <t>Where should I keep the pizza for the meeting?</t>
  </si>
  <si>
    <t>Hunger,Conservance,Order</t>
  </si>
  <si>
    <t>refrigerator,kitchen counter,kitchen table</t>
  </si>
  <si>
    <t>Retention,Hunger,Acquisition,Conservance,Play,Laziness,Order,Exposition,Emission,Achievement,Injury avoidance,Sleep,Construction,Exhibition,Toxicity avoidance,Cognizance,Sensory,Sexual,Nurturance,Nursing</t>
  </si>
  <si>
    <t>refrigerator,kitchen cabinet,kitchen table,oven tray</t>
  </si>
  <si>
    <t>I need to fix something and may require a screwdriver,where should I look?</t>
  </si>
  <si>
    <t>wall shelf,cabinet,closet,box</t>
  </si>
  <si>
    <t>Construction,Conservance,Order,Retention,Sleep,Acquisition,Play,Temperature,Nursing,Cognizance,Thirst,Hunger,Injury avoidance,Sexual,Toxicity avoidance,Exposition,Laziness,Achievement,Exhibition,Sensory</t>
  </si>
  <si>
    <t>kitchen cabinet,desk,closet,bookshelf,garage</t>
  </si>
  <si>
    <t>I have a couple of mails that I would like to deliver through USPS,so where should I put them?</t>
  </si>
  <si>
    <t>box</t>
  </si>
  <si>
    <t>Order,Acquisition,Nursing,Emission,Conservance,Retention,Exposition,Nurturance,Sexual,Hunger,Thirst,Play,Injury avoidance,Sleep,Sensory,Achievement,Exhibition,Toxicity avoidance,Laziness,Construction</t>
  </si>
  <si>
    <t>mailbox</t>
  </si>
  <si>
    <t>I need to get rid of the stack of papers on my desk. Where should I put it?</t>
  </si>
  <si>
    <t>wall shelf,garbage,cabinet,bookshelf,box</t>
  </si>
  <si>
    <t>Emission,Order,Toxicity avoidance,Retention,Injury avoidance,Conservance,Laziness,Exposition,Play,Exhibition,Breathing,Nursing,Achievement,Sensory,Thirst,Sleep,Acquisition,Cognizance,Temperature,Nurturance</t>
  </si>
  <si>
    <t>folder,books,garbage</t>
  </si>
  <si>
    <t>Where should I put the wire to charge my computer if I'm sitting at the desk with the backpack on it?</t>
  </si>
  <si>
    <t>desk,computer,power socket,table</t>
  </si>
  <si>
    <t>Acquisition,Exposition,Achievement,Cognizance,Laziness,Play,Order,Construction,Sleep,Conservance,Thirst,Temperature,Nursing,Retention,Sexual,Hunger,Toxicity avoidance,Nurturance,Exhibition,Emission</t>
  </si>
  <si>
    <t>desk,power socket,computer</t>
  </si>
  <si>
    <t>Where did I put my pink shirt?</t>
  </si>
  <si>
    <t>Acquisition,Conservance,Order</t>
  </si>
  <si>
    <t>closet,hanger,pile of clothes</t>
  </si>
  <si>
    <t>Exhibition,Sexual,Order,Exposition,Nursing,Construction,Temperature,Retention,Emission,Sensory,Sleep,Thirst,Acquisition,Injury avoidance,Conservance,Laziness,Hunger,Play,Nurturance,Breathing</t>
  </si>
  <si>
    <t>closet,drawer</t>
  </si>
  <si>
    <t>How can I cool myself off?</t>
  </si>
  <si>
    <t>ventilation fan,electric fan</t>
  </si>
  <si>
    <t>Temperature,Thirst,Breathing,Laziness,Sensory,Play,Injury avoidance,Sleep,Exhibition,Toxicity avoidance,Hunger,Exposition,Cognizance,Achievement,Conservance,Emission,Sexual,Order,Nursing,Construction</t>
  </si>
  <si>
    <t>refrigerator,ventilation fan,electric fan,towel,bathtub,water glass</t>
  </si>
  <si>
    <t>Where do I reach for laundry detergent?</t>
  </si>
  <si>
    <t>dishwashing liquid,washing machine,cleaning sponge,bathroom cabinet,cabinet</t>
  </si>
  <si>
    <t>Conservance,Nursing,Toxicity avoidance,Exhibition,Retention,Sensory,Injury avoidance,Order,Nurturance,Emission,Sexual,Breathing,Laziness,Sleep,Play,Thirst,Temperature,Exposition,Hunger,Achievement</t>
  </si>
  <si>
    <t>kitchen cabinet,washing machine</t>
  </si>
  <si>
    <t>Where could i wash my hands</t>
  </si>
  <si>
    <t>sink,soap,faucet</t>
  </si>
  <si>
    <t>bathroom counter,sink,toilet,soap,towel,faucet</t>
  </si>
  <si>
    <t>What should I do to cool down?</t>
  </si>
  <si>
    <t>Temperature,Thirst,Play,Laziness,Breathing,Sleep,Injury avoidance,Sensory,Hunger,Exhibition,Conservance,Cognizance,Achievement,Toxicity avoidance,Exposition,Emission,Order,Nursing,Sexual,Nurturance</t>
  </si>
  <si>
    <t>refrigerator,ventilation fan,electric fan,bathroom counter,bathtub,towel,sink</t>
  </si>
  <si>
    <t>Where do I throw away food packages?</t>
  </si>
  <si>
    <t>Hunger,Emission,Conservance,Injury avoidance,Order,Nursing,Nurturance,Exhibition,Sensory,Toxicity avoidance,Retention,Thirst,Sexual,Play,Temperature,Exposition,Sleep,Achievement,Construction,Acquisition</t>
  </si>
  <si>
    <t>Emission,Breathing,Conservance,Toxicity avoidance,Sensory,Nursing,Exhibition,Thirst,Nurturance,Order,Injury avoidance,Exposition,Sleep,Temperature,Retention</t>
  </si>
  <si>
    <t>Sleep,Laziness,Play,Nursing,Thirst,Nurturance,Sensory,Hunger,Injury avoidance,Temperature,Achievement,Breathing</t>
  </si>
  <si>
    <t>kitchen,living room,bathroom,bedroom</t>
  </si>
  <si>
    <t>Conservance,Emission,Toxicity avoidance,Nursing,Nurturance,Sensory,Exhibition,Thirst</t>
  </si>
  <si>
    <t>soap,faucet,bathtub,sink,towel</t>
  </si>
  <si>
    <t>Hunger,Retention,Conservance,Construction,Order,Thirst</t>
  </si>
  <si>
    <t>refrigerator,kitchen table,fruit bowl</t>
  </si>
  <si>
    <t>Cognizance,Exposition,Sensory,Acquisition,Achievement,Order,Construction,Retention,Exhibition,Conservance,Play,Injury avoidance,Breathing</t>
  </si>
  <si>
    <t>book,notepad,tablet,computer,desk,folder</t>
  </si>
  <si>
    <t>kitchen,living room</t>
  </si>
  <si>
    <t>Toxicity avoidance,Conservance,Nursing,Nurturance,Emission,Sleep,Retention,Exhibition,Breathing,Sensory,Injury avoidance,Thirst,Exposition,Order</t>
  </si>
  <si>
    <t>mirror,toothpaste,toothbrush,sink,bathroom counter</t>
  </si>
  <si>
    <t>Temperature,Play,Laziness,Injury avoidance,Thirst,Sleep</t>
  </si>
  <si>
    <t>electric fan,ventilation fan,private room</t>
  </si>
  <si>
    <t>kitchen,living room,bathroom</t>
  </si>
  <si>
    <t>Exhibition,Construction,Order,Sexual,Sensory,Exposition,Cognizance</t>
  </si>
  <si>
    <t>Exhibition,Temperature,Order,Retention</t>
  </si>
  <si>
    <t>cabinet,closet,hanger</t>
  </si>
  <si>
    <t>bathroom,living room,bedroom</t>
  </si>
  <si>
    <t>book,desk</t>
  </si>
  <si>
    <t>cabinet,closet,hanger,towel rack</t>
  </si>
  <si>
    <t>Emission,Injury avoidance,Conservance,Exhibition,Order,Toxicity avoidance,Nurturance</t>
  </si>
  <si>
    <t>floor,rug</t>
  </si>
  <si>
    <t>bathroom,living room,bedroom,kitchen</t>
  </si>
  <si>
    <t>Exhibition,Construction,Exposition</t>
  </si>
  <si>
    <t>table,closet,pile of clothes</t>
  </si>
  <si>
    <t>bed,sofa,pillow</t>
  </si>
  <si>
    <t>kitchen,living room,bedroom</t>
  </si>
  <si>
    <t>Exposition,Play,Hunger,Cognizance,Achievement,Acquisition,Order,Nursing,Laziness,Sleep,Toxicity avoidance,Conservance,Thirst,Construction,Exhibition</t>
  </si>
  <si>
    <t>sofa,desk,chair</t>
  </si>
  <si>
    <t>Exposition,Hunger,Construction,Acquisition,Order,Sexual,Retention,Exhibition,Play,Laziness,Sleep</t>
  </si>
  <si>
    <t>refrigerator,kitchen counter,kitchen table,oven tray,table</t>
  </si>
  <si>
    <t>Conservance,Injury avoidance,Thirst,Temperature,Retention,Nursing,Order,Play,Exhibition,Sleep,Laziness,Sexual,Acquisition,Sensory,Nurturance,Exposition,Toxicity avoidance</t>
  </si>
  <si>
    <t>closet,hanger,towel rack,door</t>
  </si>
  <si>
    <t>Play,Achievement,Cognizance,Laziness,Acquisition,Exposition</t>
  </si>
  <si>
    <t>bed,sofa,rug,pillow,bathtub</t>
  </si>
  <si>
    <t>Temperature,Play,Thirst,Injury avoidance,Conservance,Laziness</t>
  </si>
  <si>
    <t>stove,coffee pot,bathtub,oven,heating pad,sofa</t>
  </si>
  <si>
    <t>Thirst,Toxicity avoidance,Conservance,Nursing,Temperature,Breathing,Hunger,Emission,Play</t>
  </si>
  <si>
    <t>faucet,water glass</t>
  </si>
  <si>
    <t>bathroom,living room,kitchen</t>
  </si>
  <si>
    <t>Conservance,Nursing,Nurturance,Toxicity avoidance,Emission,Exhibition,Sensory,Exposition,Order,Play,Thirst,Retention</t>
  </si>
  <si>
    <t>faucet,sink,soap</t>
  </si>
  <si>
    <t>Conservance,Exhibition,Retention,Nursing,Play,Sleep,Emission,Order,Toxicity avoidance,Nurturance,Sensory,Thirst,Injury avoidance,Laziness,Temperature,Sexual</t>
  </si>
  <si>
    <t>towel rack</t>
  </si>
  <si>
    <t>Construction,Retention,Order,Exhibition,Conservance,Exposition,Acquisition</t>
  </si>
  <si>
    <t>table,cabinet,desk,bookshelf,wall</t>
  </si>
  <si>
    <t>refrigerator,kitchen counter,kitchen cabinet,box</t>
  </si>
  <si>
    <t>Retention,Order,Conservance,Exhibition,Injury avoidance,Nursing</t>
  </si>
  <si>
    <t>cabinet,closet,hanger,closet drawers</t>
  </si>
  <si>
    <t>Laziness,Play,Cognizance,Exposition,Acquisition,Nursing,Injury avoidance,Order,Sleep,Achievement,Emission</t>
  </si>
  <si>
    <t>chair,sofa,bed,table</t>
  </si>
  <si>
    <t>Retention,Acquisition,Achievement,Play,Exposition,Conservance,Cognizance</t>
  </si>
  <si>
    <t>desk,nightstand,table,closet</t>
  </si>
  <si>
    <t>Retention,Conservance,Order,Exhibition,Toxicity avoidance,Injury avoidance,Exposition,Nursing,Construction,Nurturance,Thirst</t>
  </si>
  <si>
    <t>cabinet,desk,kitchen counter,bookshelf,closet drawers,box</t>
  </si>
  <si>
    <t>Retention,Conservance,Exhibition,Order,Nursing,Sexual,Temperature,Sleep,Construction,Injury avoidance,Acquisition,Hunger,Emission</t>
  </si>
  <si>
    <t>closet,box,hanger,closet drawers</t>
  </si>
  <si>
    <t>Retention,Acquisition,Order,Conservance,Play,Construction,Exposition,Exhibition,Achievement,Laziness,Sleep</t>
  </si>
  <si>
    <t>bookshelf,closet,desk,box,nightstand</t>
  </si>
  <si>
    <t>Thirst,Construction,Exposition,Play,Exhibition,Order,Temperature,Cognizance,Retention,Conservance,Sensory,Hunger,Toxicity avoidance,Nursing,Acquisition,Sleep,Achievement,Sexual</t>
  </si>
  <si>
    <t>table,kitchen counter,desk,nightstand,chair</t>
  </si>
  <si>
    <t>Play,Cognizance,Laziness,Exhibition,Sensory,Exposition</t>
  </si>
  <si>
    <t>sofa,TV,chair,bed,private room,television</t>
  </si>
  <si>
    <t>Thirst,Hunger,Temperature,Play,Nursing,Injury avoidance,Toxicity avoidance,Sensory,Sleep,Breathing,Laziness,Conservance</t>
  </si>
  <si>
    <t>refrigerator,coffee pot,water glass,mug</t>
  </si>
  <si>
    <t>Play,Laziness,Sleep,Sensory,Injury avoidance,Temperature,Breathing,Thirst,Achievement,Order,Exhibition</t>
  </si>
  <si>
    <t>bathtub,chair,sofa,bed</t>
  </si>
  <si>
    <t>Emission,Nursing,Toxicity avoidance,Conservance,Play,Sleep,Sensory,Thirst,Exhibition,Nurturance,Laziness,Breathing,Order,Injury avoidance,Temperature,Sexual,Hunger,Retention,Exposition,Achievement</t>
  </si>
  <si>
    <t>toilet,bathroomcabinet,private room,bathroom counter,towel,mirror</t>
  </si>
  <si>
    <t>Conservance,Order,Exposition,Toxicity avoidance,Nursing,Hunger,Cognizance,Play,Exhibition,Nurturance,Achievement,Emission,Thirst,Acquisition,Construction,Laziness,Sleep,Retention,Sexual,Sensory</t>
  </si>
  <si>
    <t>sink,kitchen counter,dishwasher,kitchen table</t>
  </si>
  <si>
    <t>Exhibition</t>
  </si>
  <si>
    <t>pile of clothes,closet,closet drawers</t>
  </si>
  <si>
    <t>mobile phone,CPU screen,computer,TV,keyboard,television</t>
  </si>
  <si>
    <t>Play,Laziness,Sensory,Sleep,Exhibition,Achievement,Cognizance</t>
  </si>
  <si>
    <t>bed,sofa,pillow,chair,private room,slippers</t>
  </si>
  <si>
    <t>Hunger,Sensory,Play,Nursing,Exhibition</t>
  </si>
  <si>
    <t>bowl</t>
  </si>
  <si>
    <t>Retention,Conservance,Exhibition,Order,Play,Nursing,Sleep</t>
  </si>
  <si>
    <t>private room,closet,box</t>
  </si>
  <si>
    <t>Toxicity avoidance,Conservance,Retention,Nursing,Nurturance,Sleep,Exhibition,Order,Injury avoidance,Sensory,Thirst,Play,Emission,Sexual,Cognizance,Breathing,Acquisition,Construction</t>
  </si>
  <si>
    <t>toothbrush,bathroomcabinet,sink,cabinet,toothpaste</t>
  </si>
  <si>
    <t>bathroom,bedroom,kitchen</t>
  </si>
  <si>
    <t>Thirst,Conservance,Temperature,Nurturance,Acquisition,Toxicity avoidance,Hunger,Nursing,Emission,Play,Breathing,Sensory,Achievement,Injury avoidance,Order,Cognizance,Retention</t>
  </si>
  <si>
    <t>refrigerator,faucet,water glass,mug,kitchen cabinet</t>
  </si>
  <si>
    <t>Retention,Conservance,Exhibition,Sexual,Nursing,Order,Injury avoidance,Emission,Nurturance,Sensory,Temperature,Toxicity avoidance,Sleep,Breathing</t>
  </si>
  <si>
    <t>cabinet,closet,nightstand,box,closet drawers</t>
  </si>
  <si>
    <t>Acquisition</t>
  </si>
  <si>
    <t>Sleep,Exposition,Cognizance,Laziness,Exhibition,Construction,Sensory,Thirst,Sexual,Play,Temperature,Conservance,Acquisition,Achievement,Injury avoidance,Nursing,Order</t>
  </si>
  <si>
    <t>table lamp,ceiling lamp,wall lamp</t>
  </si>
  <si>
    <t>Retention,Exhibition,Order,Sexual,Nursing,Conservance,Injury avoidance</t>
  </si>
  <si>
    <t>Nursing,Play,Nurturance,Laziness,Sensory,Sleep,Injury avoidance,Toxicity avoidance</t>
  </si>
  <si>
    <t>bed,sofa,rug,chair,table,private room</t>
  </si>
  <si>
    <t>Nursing,Emission,Nurturance,Conservance,Sensory,Injury avoidance,Toxicity avoidance,Order,Sexual,Exhibition,Sleep,Breathing</t>
  </si>
  <si>
    <t>toilet,bathroom counter</t>
  </si>
  <si>
    <t>Exposition,Emission</t>
  </si>
  <si>
    <t>Thirst,Conservance,Temperature,Nursing,Sensory,Nurturance,Emission,Exhibition,Retention,Exposition,Injury avoidance,Toxicity avoidance,Breathing</t>
  </si>
  <si>
    <t>Play,Laziness,Exposition,Cognizance,Sleep,Sensory,Acquisition,Achievement,Nursing,Emission</t>
  </si>
  <si>
    <t>chair,sofa,bed,desk,table</t>
  </si>
  <si>
    <t>Laziness,Sleep,Play,Injury avoidance,Thirst,Nursing,Temperature,Cognizance,Sensory,Hunger,Exposition,Breathing</t>
  </si>
  <si>
    <t>chair,sofa,bed</t>
  </si>
  <si>
    <t>Hunger,Retention,Conservance,Thirst,Construction,Order,Nursing</t>
  </si>
  <si>
    <t>refrigerator,bowl of dishes,box</t>
  </si>
  <si>
    <t>Thirst,Hunger,Play,Sensory,Acquisition,Injury avoidance,Achievement,Breathing,Temperature,Sleep,Laziness</t>
  </si>
  <si>
    <t>refrigerator,cupcake,water glass,syrup,condiment bottle</t>
  </si>
  <si>
    <t>Emission,Play,Conservance,Toxicity avoidance,Order,Exhibition,Retention,Laziness,Nursing,Sleep,Exposition,Injury avoidance,Sexual,Achievement,Nurturance,Acquisition,Temperature</t>
  </si>
  <si>
    <t>garbage,tissue</t>
  </si>
  <si>
    <t>Laziness,Sleep,Play,Injury avoidance,Nursing,Thirst,Cognizance,Temperature,Exposition,Sensory,Breathing</t>
  </si>
  <si>
    <t>Hunger,Exposition,Nursing,Laziness,Acquisition,Order,Achievement,Nurturance,Emission,Play,Thirst,Retention,Sleep,Cognizance,Conservance,Construction,Exhibition</t>
  </si>
  <si>
    <t>table,chair,kitchen table</t>
  </si>
  <si>
    <t>Thirst,Nursing,Retention,Sensory,Play,Construction,Order,Exhibition,Toxicity avoidance,Conservance,Injury avoidance,Hunger,Temperature,Emission,Nurturance,Exposition</t>
  </si>
  <si>
    <t>bathroom cabinet,bathroom counter,towel rack,shower shelf</t>
  </si>
  <si>
    <t>Nursing,Conservance,Emission,Nurturance,Order,Retention,Injury avoidance,Play,Temperature,Exhibition,Toxicity avoidance,Sleep,Sensory,Thirst,Laziness,Sexual,Construction</t>
  </si>
  <si>
    <t>hanger,towel rack,door,closet</t>
  </si>
  <si>
    <t>Acquisition,Achievement,Exposition</t>
  </si>
  <si>
    <t>Emission,Conservance,Toxicity avoidance,Order,Retention,Nursing,Exhibition,Play,Sensory,Nurturance,Sleep,Injury avoidance,Thirst,Breathing</t>
  </si>
  <si>
    <t>tissue,toilet paper,garbage</t>
  </si>
  <si>
    <t>bathroom,living room</t>
  </si>
  <si>
    <t>Order,Exposition,Acquisition,Play,Achievement,Construction,Exhibition,Conservance,Cognizance,Sleep,Nursing,Laziness,Retention,Nurturance,Temperature,Sensory,Injury avoidance</t>
  </si>
  <si>
    <t>desk,chair,bookshelf,private room,table</t>
  </si>
  <si>
    <t>Exhibition,Construction,Exposition,Acquisition,Cognizance,Play,Order,Sensory,Thirst,Sleep,Achievement,Laziness,Conservance,Injury avoidance</t>
  </si>
  <si>
    <t>photo frame,wall,bookshelf,wall picture frame</t>
  </si>
  <si>
    <t>Play,Achievement,Exhibition,Acquisition,Exposition,Order,Construction,Conservance,Temperature,Cognizance,Laziness,Sexual,Emission,Nursing</t>
  </si>
  <si>
    <t>private room,desk,chair,computer,bookshelf,keyboard,mouse,TV,ventilation fan,light switch</t>
  </si>
  <si>
    <t>Laziness,Achievement,Emission,Exposition,Play,Cognizance,Acquisition,Injury avoidance,Sleep,Nursing,Sensory</t>
  </si>
  <si>
    <t>chair,table,desk,computer,keyboard,mouse pad</t>
  </si>
  <si>
    <t>Sleep,Laziness,Play,Thirst,Nursing,Injury avoidance,Nurturance,Temperature,Order,Conservance,Hunger,Breathing,Cognizance,Sensory,Retention,Acquisition</t>
  </si>
  <si>
    <t>bed,sofa,private room,chair,bathtub</t>
  </si>
  <si>
    <t>Exposition,Exhibition,Construction,Achievement,Cognizance,Play,Acquisition,Order,Emission</t>
  </si>
  <si>
    <t>notebook,folder,computer,desk,keyboard,pile of clothes,table,bookshelf</t>
  </si>
  <si>
    <t>refrigerator,kitchen counter,box</t>
  </si>
  <si>
    <t>Exhibition,Injury avoidance,Temperature,Sexual,Order,Retention,Nursing,Conservance,Construction,Acquisition,Sleep,Exposition,Hunger,Achievement,Sensory</t>
  </si>
  <si>
    <t>towel,toilet paper</t>
  </si>
  <si>
    <t>Play,Exposition,Hunger,Order,Achievement,Sleep,Exhibition,Conservance,Acquisition</t>
  </si>
  <si>
    <t>table,chair</t>
  </si>
  <si>
    <t>Acquisition,Play,Laziness,Achievement,Exposition,Cognizance,Sleep,Conservance,Temperature,Thirst,Hunger,Nursing,Retention</t>
  </si>
  <si>
    <t>power socket,desk</t>
  </si>
  <si>
    <t>Cognizance,Exposition,Achievement,Acquisition</t>
  </si>
  <si>
    <t>book,computer,desk</t>
  </si>
  <si>
    <t>sofa,chair,TV,television</t>
  </si>
  <si>
    <t>Play,Conservance</t>
  </si>
  <si>
    <t>nightstand,power socket,sofa</t>
  </si>
  <si>
    <t>Laziness,Play,Order,Cognizance,Injury avoidance,Retention,Acquisition</t>
  </si>
  <si>
    <t>Cognizance,Achievement,Acquisition,Exposition,Laziness,Play,Order</t>
  </si>
  <si>
    <t>chair,desk,computer,mouse,keyboard,table</t>
  </si>
  <si>
    <t>Retention,Hunger</t>
  </si>
  <si>
    <t>refrigerator,oven tray,table</t>
  </si>
  <si>
    <t>Construction,Conservance,Order,Retention,Sleep,Acquisition,Play,Temperature,Nursing,Cognizance,Thirst,Hunger,Injury avoidance,Sexual</t>
  </si>
  <si>
    <t>,desk,box,cabinet</t>
  </si>
  <si>
    <t>[none]</t>
  </si>
  <si>
    <t>mailbox,post office</t>
  </si>
  <si>
    <t>Emission,Order,Toxicity avoidance,Retention,Injury avoidance</t>
  </si>
  <si>
    <t>folder,box,bookshelf,garbage</t>
  </si>
  <si>
    <t>Acquisition,Exposition,Achievement,Cognizance,Laziness,Play,Order,Construction,Sleep,Conservance,Thirst,Temperature,Retention,Nursing,Sexual</t>
  </si>
  <si>
    <t>power socket,desk,computer</t>
  </si>
  <si>
    <t>Exhibition,Sexual,Order,Exposition,Nursing</t>
  </si>
  <si>
    <t>closet,box,pile of clothes,sofa,drawer</t>
  </si>
  <si>
    <t>Temperature,Thirst,Breathing,Laziness,Sensory,Play,Injury avoidance</t>
  </si>
  <si>
    <t>faucet,bathtub,water glass,electric fan,ventilation fan</t>
  </si>
  <si>
    <t>Conservance,Nursing,Toxicity avoidance,Exhibition,Retention,Sensory,Injury avoidance,Nurturance,Order,Emission,Sexual</t>
  </si>
  <si>
    <t>washing machine,kitchen cabinet,closet drawers</t>
  </si>
  <si>
    <t>faucet,soap,sink,towel,bathtub,toilet</t>
  </si>
  <si>
    <t>Temperature,Thirst,Play,Laziness,Breathing,Injury avoidance,Sleep,Sensory</t>
  </si>
  <si>
    <t>faucet,bathtub,refrigerator,electric fan,ventilation fan</t>
  </si>
  <si>
    <t>Hunger,Emission,Conservance,Injury avoidance,Order,Nursing,Nurturance,Exhibition</t>
  </si>
  <si>
    <t>garbage,box</t>
  </si>
  <si>
    <t>kitchen,bathroom</t>
  </si>
  <si>
    <t>Retention</t>
  </si>
  <si>
    <t>refrigerator,closet drawers</t>
  </si>
  <si>
    <t>Thirst,Toxicity avoidance</t>
  </si>
  <si>
    <t>Play,Laziness,Sleep</t>
  </si>
  <si>
    <t>TV,television</t>
  </si>
  <si>
    <t>Exposition</t>
  </si>
  <si>
    <t>towel,tissue</t>
  </si>
  <si>
    <t>living room,bathroom</t>
  </si>
  <si>
    <t>bed,sofa,chair,private room</t>
  </si>
  <si>
    <t>desk,computer</t>
  </si>
  <si>
    <t>Emission,Conservance,Toxicity avoidance,Order,Retention</t>
  </si>
  <si>
    <t>Exhibition,Construction</t>
  </si>
  <si>
    <t>Conservance</t>
  </si>
  <si>
    <t>Emission,Breathing</t>
  </si>
  <si>
    <t>tissue,toilet paper</t>
  </si>
  <si>
    <t>Sleep,Laziness,Play</t>
  </si>
  <si>
    <t>sink,restroom,hand sanitizer</t>
  </si>
  <si>
    <t>refrigerator,banana</t>
  </si>
  <si>
    <t>notebook,laptop,tablet,smartphone,whiteboard</t>
  </si>
  <si>
    <t>sink,toilet</t>
  </si>
  <si>
    <t>electric fan,ventilation fan,bathtub,stove</t>
  </si>
  <si>
    <t>closet,rack,hanger,wardrobe</t>
  </si>
  <si>
    <t>library,bookstore,school</t>
  </si>
  <si>
    <t>hook,chair,table,wardrobe,bench</t>
  </si>
  <si>
    <t>table,chair,shelf</t>
  </si>
  <si>
    <t>Exposition,Play,Hunger,Cognizance</t>
  </si>
  <si>
    <t>sofa,chair,desk,private room</t>
  </si>
  <si>
    <t>basket,table,counter,fridge</t>
  </si>
  <si>
    <t>Conservance,Injury avoidance</t>
  </si>
  <si>
    <t>ventilation fan,rug,towel</t>
  </si>
  <si>
    <t>bed,sofa,hammock,bean bag,deck chair</t>
  </si>
  <si>
    <t>bathtub,stove,coffee maker</t>
  </si>
  <si>
    <t>water glass,faucet,refrigerator,mug,sink</t>
  </si>
  <si>
    <t>sink,soap</t>
  </si>
  <si>
    <t>Conservance,Exhibition,Retention</t>
  </si>
  <si>
    <t>hanger socket,towel</t>
  </si>
  <si>
    <t>Construction,Retention,Order</t>
  </si>
  <si>
    <t>mirror,cabinet,kitchen counter,photo frame,wall picture frame,kitchen cabinet,kitchen table,bookshelf,TV stand,wall,floor shelf</t>
  </si>
  <si>
    <t>kitchen,bathroom,bedroom</t>
  </si>
  <si>
    <t>hanger,wardrobe,closet</t>
  </si>
  <si>
    <t>chair,bench,stool,sofa,armchair,table</t>
  </si>
  <si>
    <t>desk,table,drawer,stand,keyboard tray</t>
  </si>
  <si>
    <t>Retention,Conservance</t>
  </si>
  <si>
    <t>closet drawers,folder</t>
  </si>
  <si>
    <t>Retention,Conservance,Exhibition,Order</t>
  </si>
  <si>
    <t>cabinet,box,closet,hanger</t>
  </si>
  <si>
    <t>Retention,Acquisition</t>
  </si>
  <si>
    <t>closet,desk,folder</t>
  </si>
  <si>
    <t>Thirst,Construction</t>
  </si>
  <si>
    <t>sink,refrigerator,mug,coffee pot,coffee maker,wine glass</t>
  </si>
  <si>
    <t>couch,armchair,bed,beanbag</t>
  </si>
  <si>
    <t>bedroom</t>
  </si>
  <si>
    <t>Thirst,Hunger</t>
  </si>
  <si>
    <t>coffee pot,faucet,water glass,refrigerator,mug,sink</t>
  </si>
  <si>
    <t>bathtub,sofa,chair,bed,private room</t>
  </si>
  <si>
    <t>Emission,Nursing,Toxicity avoidance,Conservance,Play</t>
  </si>
  <si>
    <t>toilet,sink,private room</t>
  </si>
  <si>
    <t>Conservance,Order,Exposition,Toxicity avoidance</t>
  </si>
  <si>
    <t>sink,kitchen counter,table</t>
  </si>
  <si>
    <t>drawer,closet,hook,coat rack</t>
  </si>
  <si>
    <t>clock,watch,smartphone,computer</t>
  </si>
  <si>
    <t>bed,pillow,sofa,private room</t>
  </si>
  <si>
    <t>kitchen,table</t>
  </si>
  <si>
    <t>Toxicity avoidance,Conservance,Retention</t>
  </si>
  <si>
    <t>toothbrush</t>
  </si>
  <si>
    <t>Thirst,Conservance</t>
  </si>
  <si>
    <t>faucet,bathtub,refrigerator,sink,water glass,mug</t>
  </si>
  <si>
    <t>Retention,Conservance,Exhibition,Sexual,Nursing,Order</t>
  </si>
  <si>
    <t>cabinet,nightstand,closet,box</t>
  </si>
  <si>
    <t>outlet,charger,desk</t>
  </si>
  <si>
    <t>Sleep</t>
  </si>
  <si>
    <t>drawer,closet,hook,storage box</t>
  </si>
  <si>
    <t>Nursing,Play</t>
  </si>
  <si>
    <t>rug,chair,bed,sofa,floor</t>
  </si>
  <si>
    <t>Nursing,Emission,Nurturance</t>
  </si>
  <si>
    <t>bathroom,changing table</t>
  </si>
  <si>
    <t>editor,app,website</t>
  </si>
  <si>
    <t>towel,hand dryer</t>
  </si>
  <si>
    <t>chair,bench,stool,loveseat</t>
  </si>
  <si>
    <t>Laziness,Sleep,Play</t>
  </si>
  <si>
    <t>chair,bed,sofa)table</t>
  </si>
  <si>
    <t>Hunger,Retention</t>
  </si>
  <si>
    <t>refrigerator,condiment bottle,oven tray,bowl of dishes</t>
  </si>
  <si>
    <t>Emission,Play,Conservance,Toxicity avoidance,Order</t>
  </si>
  <si>
    <t>table</t>
  </si>
  <si>
    <t>Thirst,Nursing</t>
  </si>
  <si>
    <t>bathtub,sink,faucet</t>
  </si>
  <si>
    <t>Nursing</t>
  </si>
  <si>
    <t>floor,bathtub,rug,chair,closet</t>
  </si>
  <si>
    <t>outlet,desk,library,cafe</t>
  </si>
  <si>
    <t>tissue,garbage,toilet paper</t>
  </si>
  <si>
    <t>Order,Exposition,Acquisition,Play</t>
  </si>
  <si>
    <t>desk,chair,table,private room,bookshelf,computer,folder</t>
  </si>
  <si>
    <t>photo frame</t>
  </si>
  <si>
    <t>office,store,restaurant</t>
  </si>
  <si>
    <t>desk,table,chair</t>
  </si>
  <si>
    <t>bed,sofa,chair,bathtub</t>
  </si>
  <si>
    <t>desk,table,computer</t>
  </si>
  <si>
    <t>refrigerator,oven tray</t>
  </si>
  <si>
    <t>coat rack,shoe rack,closet</t>
  </si>
  <si>
    <t>Conservance,Thirst,Toxicity avoidance,Emission,Nursing</t>
  </si>
  <si>
    <t>patio,deck,garden</t>
  </si>
  <si>
    <t>wall outlet,power strip</t>
  </si>
  <si>
    <t>computer,book</t>
  </si>
  <si>
    <t>sofa,chair</t>
  </si>
  <si>
    <t>bed,sofa,pillow,chair,private room</t>
  </si>
  <si>
    <t>outlet,desk,chair</t>
  </si>
  <si>
    <t>chair,bench</t>
  </si>
  <si>
    <t>Cognizance,Achievement,Acquisition</t>
  </si>
  <si>
    <t>desk,chair,computer,CPU screen,mouse,keyboard,table</t>
  </si>
  <si>
    <t>table,counter,fridge</t>
  </si>
  <si>
    <t>toolbox,drawer,workbench</t>
  </si>
  <si>
    <t>file cabinet,trash bin,storage box,folder</t>
  </si>
  <si>
    <t>Acquisition,Exposition,Achievement,Cognizance,Laziness</t>
  </si>
  <si>
    <t>closet,drawer,hamper</t>
  </si>
  <si>
    <t>electric fan,ventilation fan,refrigerator,bathtub,water glass</t>
  </si>
  <si>
    <t>Conservance,Nursing,Toxicity avoidance</t>
  </si>
  <si>
    <t>washing machine,closet,cleaning,detergent</t>
  </si>
  <si>
    <t>sink,restroom,public washbasin</t>
  </si>
  <si>
    <t>,trash can,recycling bin</t>
  </si>
  <si>
    <t>sink,faucet,soap,towel</t>
  </si>
  <si>
    <t>Achievement</t>
  </si>
  <si>
    <t>kitchen,bedroom,living room,bathroom</t>
  </si>
  <si>
    <t>bedroom,living room,bathroom</t>
  </si>
  <si>
    <t>kitchen,bedroom,living room</t>
  </si>
  <si>
    <t>sink,faucet,water glass</t>
  </si>
  <si>
    <t>wall lamp,ceiling lamp,table lamp</t>
  </si>
  <si>
    <t>欲求(日本)</t>
  </si>
  <si>
    <t>欲求</t>
  </si>
  <si>
    <t>物全て</t>
  </si>
  <si>
    <t>物の数</t>
  </si>
  <si>
    <t>辞書全体のトークン数</t>
  </si>
  <si>
    <t>圧縮率</t>
  </si>
  <si>
    <t>呼吸欲求</t>
  </si>
  <si>
    <t>Breathing</t>
  </si>
  <si>
    <t xml:space="preserve">perfume,ventilation fan,tissue,deodorant </t>
  </si>
  <si>
    <t>飲水欲求</t>
  </si>
  <si>
    <t>faucet,sink,water glass,refrigerator,mug,wine glass,coffee maker,coffee pot</t>
  </si>
  <si>
    <t>食物欲求</t>
  </si>
  <si>
    <t>banana,slices of bread,cereal,chocolate,bowl of dishes,syrup,condiment bottle,condiment pendulum,cooking pot,cupcake,cutlet,faucet,refrigerator,microwave,minced meat,oven tray,pie,dish,pudding,stove,toaster,table,cupcake,</t>
  </si>
  <si>
    <t>睡眠欲求</t>
  </si>
  <si>
    <t>curtain,light switch,toothbrush,toothpaste,bed,ceiling lamp,nightstand,pillow,sofa,rug,table lamp,wall lamp</t>
  </si>
  <si>
    <t>怠惰欲求</t>
  </si>
  <si>
    <t>bathtub,floor,bed,books,orchid,pillow,sofa,chair,TV,table,computer,CPU screen,rug,television,electric fan,floor</t>
  </si>
  <si>
    <t>官性欲求(五感)</t>
  </si>
  <si>
    <t>Sensory</t>
  </si>
  <si>
    <t>bathtub,deodorant,painkiller,perfume,floor</t>
  </si>
  <si>
    <t>性的欲求</t>
  </si>
  <si>
    <t>Sexual</t>
  </si>
  <si>
    <t>clothes pants,curtain,door,face cream,hair product,perfume,bed,light switch,nightstand,pillow,mobile phone,floor</t>
  </si>
  <si>
    <t>授乳欲求(世話)</t>
  </si>
  <si>
    <t>bathtub,closet,rug,toilet,towel,washing machine,bed,chair,floor,pillow,sofa</t>
  </si>
  <si>
    <t>排出欲求</t>
  </si>
  <si>
    <t>toilet,toilet paper,tissue,garbage</t>
  </si>
  <si>
    <t>毒性回避欲求</t>
  </si>
  <si>
    <t>toothbrush,toothpaste,deodorant,dishwasher,dishwashing liquid,faucet,ventilation fan,garbage,toilet,sink</t>
  </si>
  <si>
    <t>体温管理欲求</t>
  </si>
  <si>
    <t>electric fan,water glass,ventilation fan,refrigerator,bathtub,bed,coffee maker,mug,stove</t>
  </si>
  <si>
    <t>傷害回避欲求</t>
  </si>
  <si>
    <t>Injury avoidance</t>
  </si>
  <si>
    <t>painkiller,rug,deodorant,slippers</t>
  </si>
  <si>
    <t>保存欲求</t>
  </si>
  <si>
    <t>soap,bathtub,deodorant,face cream,faucet,power,hanger socket,sink,toilet paper,toothbrush,toothpaste,towel,washing machine,cleaning,floor sponge,mirror,dishwasher,dishwashing liquid,refrigerator,ventilation fan,cleaning sponge,garbage</t>
  </si>
  <si>
    <t>秩序欲求</t>
  </si>
  <si>
    <t>bathroom counter,closet,closet drawers,hanger,sink,towel rack,wall picture frame,cabinet,pile of clothes,wall,floor shelf,bookshelf,box,folder,refrigerator,kitchen cabinet,kitchen counter,kitchen table,rug,TV stand,garbage</t>
  </si>
  <si>
    <t>保持欲求</t>
  </si>
  <si>
    <t>soap,closet,closet drawers,power socket,toothpaste,toothbrush,face cream,perfume,deodorant,dishwashing liquid,folder,refrigerator,photo frame</t>
  </si>
  <si>
    <t>構成欲求</t>
  </si>
  <si>
    <t>Construction</t>
  </si>
  <si>
    <t>mirror,photo frame,computer,hair product,orchid,</t>
  </si>
  <si>
    <t>遊戯欲求</t>
  </si>
  <si>
    <t>bathtub,private room,rug,books,chair,nightstand,sofa,mobile phone,power socket,TV,wine glass,table,book,keyboard,mouse,mouse pad,television,floor</t>
  </si>
  <si>
    <t>求知欲求</t>
  </si>
  <si>
    <t>table,desk,book,computer,mobile phone,TV,television,mirror</t>
  </si>
  <si>
    <t>解明欲求</t>
  </si>
  <si>
    <t>table,desk,computer,mirror</t>
  </si>
  <si>
    <t>獲得欲求</t>
  </si>
  <si>
    <t>book,desk,table,chair,CPU screen,keyboard,computer,mouse</t>
  </si>
  <si>
    <t>達成欲求</t>
  </si>
  <si>
    <t>顕示欲求</t>
  </si>
  <si>
    <t>mirror,soap,closet,closet drawers,clothes pants,pile of clothes,clothes shirt,deodorant,face cream,hair product,perfume,mobile phone</t>
  </si>
  <si>
    <t>養護欲求</t>
  </si>
  <si>
    <t>Nurturance</t>
  </si>
  <si>
    <t>soap,bathroomcabinet,toothbrush,bed,floor</t>
  </si>
  <si>
    <t>Emission,Breathing,Conservance,Sensory,Toxicity avoidance,Nursing,Exhibition,Thirst,Nurturance,Order,Exposition,Injury avoidance,Sleep,Temperature,Retention,Construction,Sexual,Achievement,Laziness,Cognizance</t>
  </si>
  <si>
    <t>towel,toilet paper,tissue</t>
  </si>
  <si>
    <t>bed,sofa,private room,closet,chair,rug,pillow</t>
  </si>
  <si>
    <t>Conservance,Emission,Toxicity avoidance,Nursing,Nurturance,Sensory,Exhibition,Thirst,Exposition,Temperature,Breathing,Retention,Injury avoidance,Order,Play,Sexual,Construction,Sleep,Hunger,Cognizance</t>
  </si>
  <si>
    <t>sink,toilet,bowl of dishes,faucet,bathtub,washing machine,bathroom counter</t>
  </si>
  <si>
    <t>Hunger,Retention,Conservance,Order,Construction,Thirst,Nursing,Exhibition,Nurturance,Sleep,Acquisition,Sensory,Injury avoidance,Play,Sexual,Temperature,Laziness,Toxicity avoidance,Achievement,Exposition</t>
  </si>
  <si>
    <t>refrigerator,kitchen cabinet,closet,closet drawers,bathroom cabinet,box</t>
  </si>
  <si>
    <t>bedroom,bathroom,living room,kitchen</t>
  </si>
  <si>
    <t>Cognizance,Exposition,Sensory,Acquisition,Achievement,Order,Construction,Retention,Exhibition,Conservance,Play,Injury avoidance,Breathing,Nurturance,Sleep,Toxicity avoidance,Laziness,Emission,Nursing,Sexual</t>
  </si>
  <si>
    <t>keyboard,book,mobile phone,tablet,computer,desk,table,notebook,bookshelf,closet,folder,closet drawers,books</t>
  </si>
  <si>
    <t>kitchen,bedroom,bathroom,living room</t>
  </si>
  <si>
    <t>sink,faucet,toothbrush,toothpaste,bathroom counter,bathroom cabinet</t>
  </si>
  <si>
    <t>Temperature,Play,Laziness,Injury avoidance,Thirst,Sleep,Hunger,Achievement,Conservance,Exhibition,Nursing,Order,Sensory,Emission,Exposition,Breathing,Acquisition,Nurturance,Cognizance,Toxicity avoidance</t>
  </si>
  <si>
    <t>microwave,stove,oven tray,refrigerator,coffee maker,cooking pot,coffee pot,ceiling lamp,table lamp,electric fan</t>
  </si>
  <si>
    <t>Exhibition,Construction,Order,Sexual,Sensory,Exposition,Cognizance,Breathing,Conservance,Injury avoidance,Achievement,Emission,Temperature,Sleep,Hunger,Acquisition,Retention,Thirst,Nurturance,Nursing</t>
  </si>
  <si>
    <t>closet,wardrobe,closet drawers,coat rack,hanger</t>
  </si>
  <si>
    <t>living room,bathroom,bedroom</t>
  </si>
  <si>
    <t>bed,sofa,private room,kitchen table,table,nightstand,desk,chair,bookshelf,books,book</t>
  </si>
  <si>
    <t>bed,sofa,nightstand,closet,closet drawers,private room,towel rack,hanger,chair,desk,table,bookshelf,coat rack,hook</t>
  </si>
  <si>
    <t>Emission,Injury avoidance,Conservance,Exhibition,Order,Toxicity avoidance,Nurturance,Retention,Sensory,Achievement,Sexual,Exposition,Construction,Thirst,Nursing,Acquisition,Sleep,Laziness,Breathing,Hunger</t>
  </si>
  <si>
    <t>floor,rug,door,kitchen counter,kitchen table,bathroom counter</t>
  </si>
  <si>
    <t>kitchen,bathroom,living room,bedroom</t>
  </si>
  <si>
    <t>Exhibition,Construction,Exposition,Temperature,Sleep,Order,Hunger,Laziness,Play,Achievement,Thirst,Retention,Nursing,Sexual,Acquisition,Injury avoidance,Emission,Conservance,Sensory,Nurturance</t>
  </si>
  <si>
    <t>bed,nightstand,bookshelf,closet,private room,kitchen table,desk,chair,kitchen counter,table,rug,sofa,pillow,closet drawers,wall picture frame,box,sofa,pile of clothes</t>
  </si>
  <si>
    <t>bed,sofa,pillow,private room,closet,chair,table,desk,rug,ceiling lamp,table lamp,wall,closet drawers,sofa,television,power socket,floor</t>
  </si>
  <si>
    <t>bed,sofa,nightstand,TV stand,desk,chair,rug,sofa</t>
  </si>
  <si>
    <t>Exposition,Hunger,Construction,Acquisition,Order,Sexual,Retention,Exhibition,Play,Laziness,Sleep,Achievement,Sensory,Thirst,Conservance,Nursing,Cognizance,Temperature,Emission,Injury avoidance</t>
  </si>
  <si>
    <t>bowl of dishes,cabinet,nightstand,dish,bookshelf,closet,kitchen table,table,desk,chair,microwave,kitchen counter,stove,refrigerator,kitchen cabinet,closet drawers,box,coffee maker,oven tray,cooking pot</t>
  </si>
  <si>
    <t>bedroom,living room,bathroom,kitchen</t>
  </si>
  <si>
    <t>towel,nightstand,closet,chair,rug,kitchen counter,sink,floor,kitchen table,table,dishwasher,hanger,bathroom counter,sofa,floor shelf</t>
  </si>
  <si>
    <t>living room,bathroom,kitchen,bedroom</t>
  </si>
  <si>
    <t>Play,Achievement,Cognizance,Laziness,Acquisition,Exposition,Sleep,Sensory,Nursing,Order,Hunger,Breathing,Construction,Thirst,Temperature,Exhibition,Conservance,Retention,Injury avoidance,Nurturance</t>
  </si>
  <si>
    <t>bed,sofa,rug,pillow</t>
  </si>
  <si>
    <t>bed,sofa,TV,nightstand,light switch,towel,toaster,microwave,electric fan,stove,rug,washing machine,ceiling lamp,table lamp,refrigerator,ventilation fan,bathtub,pillow,television,sofa,oven tray,slippers,curtain</t>
  </si>
  <si>
    <t>sink,faucet,water glass,mug,cup</t>
  </si>
  <si>
    <t>Conservance,Nursing,Nurturance,Toxicity avoidance,Emission,Exhibition,Sensory,Exposition,Order,Thirst,Play,Retention,Temperature,Sexual,Construction,Sleep,Breathing,Laziness,Acquisition,Injury avoidance</t>
  </si>
  <si>
    <t>sink,faucet,soap,bathroom counter</t>
  </si>
  <si>
    <t>towelrack,hanger,bathroomcabinet,bathroomcounter</t>
  </si>
  <si>
    <t>bed,sofa,cabinet,nightstand,bookshelf,closet,private room,kitchen table,wall lamp,table,desk,chair,floor shelf,kitchen counter,wall,closet drawers,books,mirror,bathroom cabinet,bathroom counter,TV stand</t>
  </si>
  <si>
    <t>bowl of dishes,cabinet,nightstand,dish,bookshelf,closet,kitchen table,table,kitchen counter,refrigerator,kitchen cabinet,closet drawers,box</t>
  </si>
  <si>
    <t>cabinet,nightstand,bookshelf,closet,desk,floor shelf,kitchen cabinet,closet drawers,wall picture frame,bathroom cabinet,hanger,hanger socket,pile of clothes</t>
  </si>
  <si>
    <t>Laziness,Play,Cognizance,Exposition,Acquisition,Nursing,Injury avoidance,Order,Sleep,Achievement,Emission,Sensory,Temperature,Thirst,Hunger,Toxicity avoidance,Sexual,Exhibition,Retention,Nurturance</t>
  </si>
  <si>
    <t>bed,sofa,toilet,nightstand,sink,kitchen table,table,desk,chair,floor,rug</t>
  </si>
  <si>
    <t>cabinet,nightstand,bookshelf,closet,desk,table,computer,chair,floor shelf,kitchen cabinet,closet drawers,table lamp</t>
  </si>
  <si>
    <t>Retention,Conservance,Order,Exhibition,Toxicity avoidance,Injury avoidance,Exposition,Nursing,Construction,Nurturance,Thirst,Sensory,Acquisition,Emission,Play,Breathing,Cognizance,Achievement,Hunger,Temperature</t>
  </si>
  <si>
    <t>cabinet,nightstand,bookshelf,closet,desk,closet drawers,kitchen cabinet,bathroom cabinet,box</t>
  </si>
  <si>
    <t>closet,closet drawers,wardrobe,drawer,cabinet,private room,hanger,pile of clothes,box</t>
  </si>
  <si>
    <t>cabinet,nightstand,bookshelf,closet,folder,private room,table,desk,floor shelf,kitchen cabinet,box,closet drawers,bathroom cabinet</t>
  </si>
  <si>
    <t>nightstand,dish,sink,wine glass,bookshelf,water glass,kitchen table,table,desk,chair,kitchen counter,stove,coffee pot,computer,refrigerator,kitchen cabinet,dishwasher,bathroom counter,sofa,TV stand,oven tray</t>
  </si>
  <si>
    <t>sofa,TV,television,private room,chair</t>
  </si>
  <si>
    <t>wine glass,water glass,mug,coffee pot,coffee maker</t>
  </si>
  <si>
    <t>bed,sofa,private room,chair,bathtub,pillow,sofa</t>
  </si>
  <si>
    <t>toilet,sink,private room,bathtub,bathroom cabinet,bathroom counter</t>
  </si>
  <si>
    <t>Exhibition,Sexual,Construction,Sleep,Injury avoidance,Retention,Order,Temperature,Exposition,Breathing,Nursing,Hunger,Acquisition,Play,Sensory,Laziness,Conservance,Thirst,Emission,Nurturance</t>
  </si>
  <si>
    <t>bed,sofa,nightstand,bookshelf,closet,closet drawers,table,desk,chair,kitchen counter,floor shelf,hanger,pile of clothes,towel rack</t>
  </si>
  <si>
    <t>Achievement,Cognizance,Sleep,Play,Laziness,Temperature,Exposition,Thirst,Exhibition,Acquisition,Hunger,Construction,Sensory,Order,Emission,Conservance,Sexual,Injury avoidance,Breathing,Retention</t>
  </si>
  <si>
    <t>mobile phone,TV,clock,computer,watch,wall clock</t>
  </si>
  <si>
    <t>TV,mobile phone,computer,tablet,television</t>
  </si>
  <si>
    <t>bed,sofa,pillow,private room,chair,couch,wall,power,desk,sofa bed</t>
  </si>
  <si>
    <t>cabinet,nightstand,bookshelf,closet,private room,table,desk,kitchen cabinet,closet drawers,box</t>
  </si>
  <si>
    <t>sink,toilet,wine glass,water glass,faucet,mug,kitchen table,coffee pot,refrigerator,kitchen cabinet,bathroom cabinet,coffee maker,bathroom counter</t>
  </si>
  <si>
    <t>Retention,Conservance,Exhibition,Sexual,Nursing,Order,Injury avoidance,Emission,Nurturance,Sensory,Toxicity avoidance,Temperature,Sleep,Breathing,Construction,Play,Acquisition,Thirst,Hunger,Laziness</t>
  </si>
  <si>
    <t>cabinet,nightstand,closet,private room,closet drawers,bathroom cabinet,box,dresser</t>
  </si>
  <si>
    <t>Sleep,Exposition,Cognizance,Laziness,Exhibition,Construction,Sensory,Thirst,Sexual,Play,Temperature,Conservance,Acquisition,Achievement,Injury avoidance,Nursing,Order,Hunger,Emission,Retention</t>
  </si>
  <si>
    <t>nightstand,wall lamp,table lamp,ceiling lamp</t>
  </si>
  <si>
    <t>Retention,Exhibition,Order,Sexual,Nursing,Conservance,Injury avoidance,Breathing,Temperature,Emission,Exposition,Nurturance,Thirst,Acquisition,Toxicity avoidance,Sleep,Sensory,Construction,Hunger,Laziness</t>
  </si>
  <si>
    <t>bed,sofa,closet,closet drawers,hanger,bookshelf,table,cabinet,nightstand,dresser</t>
  </si>
  <si>
    <t>sofa,nightstand,bookshelf,private room,kitchen table,table,desk,chair,rug,floor</t>
  </si>
  <si>
    <t>bed,sofa,private room,chair,table,desk,rug,floor</t>
  </si>
  <si>
    <t>bed,sofa,toilet,private room,kitchen table,table,desk,floor,kitchen counter,bathroom counter</t>
  </si>
  <si>
    <t>keyboard,computer,desk,table</t>
  </si>
  <si>
    <t>towel,sink,toilet paper,faucet,bathroom counter,towel rack,bathroom cabinet,kitchen counter</t>
  </si>
  <si>
    <t>bed,sofa,toilet,private room,kitchen table,table,desk,chair,floor,sofa</t>
  </si>
  <si>
    <t>bed,sofa,chair,private room,kitchen table,table,desk</t>
  </si>
  <si>
    <t>Hunger,Retention,Conservance,Thirst,Construction,Order,Nursing,Acquisition,Play,Sleep,Temperature,Injury avoidance,Sensory,Toxicity avoidance,Nurturance,Exhibition,Laziness,Sexual,Exposition,Achievement</t>
  </si>
  <si>
    <t>Thirst,Hunger,Play,Sensory,Acquisition,Achievement,Breathing,Injury avoidance,Temperature,Sleep,Laziness,Nursing,Toxicity avoidance,Exhibition,Conservance,Cognizance,Sexual,Retention,Emission,Exposition</t>
  </si>
  <si>
    <t>Emission,Play,Conservance,Toxicity avoidance,Order,Exhibition,Retention,Laziness,Nursing,Sleep,Exposition,Injury avoidance,Sexual,Achievement,Nurturance,Acquisition,Temperature,Sensory,Breathing,Thirst</t>
  </si>
  <si>
    <t>bed,sofa,toilet,kitchen table,table,chair,floor</t>
  </si>
  <si>
    <t>Hunger,Exposition,Nursing,Laziness,Acquisition,Order,Achievement,Nurturance,Emission,Play,Thirst,Retention,Sleep,Cognizance,Conservance,Construction,Exhibition,Sensory,Temperature,Sexual</t>
  </si>
  <si>
    <t>kitchen table,table,desk,chair,kitchen counter</t>
  </si>
  <si>
    <t>bedroom,living room,kitchen</t>
  </si>
  <si>
    <t>shampoo,soap,bathtub,shower,cabinet,sink,towel rack,bathroom cabinet,bathroom counter</t>
  </si>
  <si>
    <t>towel rack,wall,shower rod,clothes hanger,closet,closet drawers,kitchen counter,kitchen cabinet,sofa,chairode</t>
  </si>
  <si>
    <t>Acquisition,Achievement,Exposition,Cognizance,Laziness,Play,Conservance,Hunger,Thirst,Temperature,Sleep,Construction,Nursing,Nurturance,Order</t>
  </si>
  <si>
    <t>computer,power socket,desk,table</t>
  </si>
  <si>
    <t>bedroom,bathroom,kitchen,living room</t>
  </si>
  <si>
    <t>toilet,sink,garbage</t>
  </si>
  <si>
    <t>books,private room,table,computer,desk,chair,bookshelf,light switch,power socket,table lamp,mug</t>
  </si>
  <si>
    <t>Exhibition,Construction,Exposition,Acquisition,Cognizance,Play,Order,Sensory,Thirst,Sleep,Achievement,Laziness,Conservance,Injury avoidance,Retention,Hunger,Toxicity avoidance,Sexual,Nursing,Nurturance</t>
  </si>
  <si>
    <t>wall,wall picture frame</t>
  </si>
  <si>
    <t>Play,Achievement,Exhibition,Acquisition,Exposition,Order,Construction,Conservance,Cognizance,Temperature,Laziness,Sexual,Emission,Nursing,Sensory,Thirst,Nurturance,Sleep,Hunger,Injury avoidance</t>
  </si>
  <si>
    <t>desk,table,chair,computer,keyboard,mouse,private room</t>
  </si>
  <si>
    <t>kitchen table,table,desk,chair,sofa</t>
  </si>
  <si>
    <t>bed,sofa,private room,chair,rug,pillow,sofa</t>
  </si>
  <si>
    <t>keyboard,book,folder,private room,mobile phone,desk,table,computer,mouse pad,notebook,notepad,wall,closet drawers,photo frame,bookshelf,mug,clothes pants,chair,books,wall picture frame,box,pile of clothes,CPU screen,mouse</t>
  </si>
  <si>
    <t>refrigerator,kitchen cabinet,closet,pantry</t>
  </si>
  <si>
    <t>closet,kitchen cabinet,closet drawers,bathroom cabinet,hanger</t>
  </si>
  <si>
    <t>towel,tissue,toilet paper</t>
  </si>
  <si>
    <t>Play,Exposition,Hunger,Order,Achievement,Sleep,Exhibition,Conservance,Temperature,Acquisition,Cognizance,Thirst,Construction,Retention,Laziness,Sexual,Sensory,Nurturance,Nursing,Emission</t>
  </si>
  <si>
    <t>kitchen table,table,chair</t>
  </si>
  <si>
    <t>power socket, wall lamp, table lamp, desk, kitchen counter, floor shelf, nightstand</t>
  </si>
  <si>
    <t>Cognizance,Exposition,Achievement,Acquisition,Exhibition,Construction,Temperature,Sensory,Nurturance,Conservance,Play,Thirst,Breathing,Nursing,Laziness,Order,Toxicity avoidance,Sleep,Injury avoidance,Emission</t>
  </si>
  <si>
    <t>book,bookshelf,computer,desk,folder,books</t>
  </si>
  <si>
    <t>bed,sofa,kitchen table,table,chair,rug,pillow,sofa</t>
  </si>
  <si>
    <t>bed,sofa,private room,pillow</t>
  </si>
  <si>
    <t>bed,nightstand,sofa,private room,pillow</t>
  </si>
  <si>
    <t>Laziness,Play,Order,Cognizance,Injury avoidance,Retention,Acquisition,Exposition,Toxicity avoidance,Sleep,Achievement,Nursing,Construction,Conservance,Emission,Temperature,Sensory,Exhibition,Sexual,Hunger</t>
  </si>
  <si>
    <t>bed,sofa,toilet,desk,chair,rug,floor</t>
  </si>
  <si>
    <t>sofa,private room,kitchen table,table,desk,chair</t>
  </si>
  <si>
    <t>kitchen table,cabinet,bookshelf,closet,desk,table,kitchen counter,stove,refrigerator,kitchen cabinet,table lamp</t>
  </si>
  <si>
    <t>cabinet,bookshelf,closet,kitchen cabinet,closet drawers</t>
  </si>
  <si>
    <t>Order,Acquisition,Nursing,Emission,Conservance,Retention,Exposition,Nurturance,Sexual,Hunger,Thirst,Play,Injury avoidance,Sleep,Sensory,Exhibition,Achievement,Toxicity avoidance,Laziness,Construction</t>
  </si>
  <si>
    <t>Emission,Order,Toxicity avoidance,Retention,Injury avoidance,Conservance,Laziness,Play,Exposition,Exhibition,Breathing,Nursing,Achievement,Sensory,Thirst,Sleep,Acquisition,Cognizance,Temperature,Nurturance</t>
  </si>
  <si>
    <t>cabinet,folder,bookshelf,closet,desk,box</t>
  </si>
  <si>
    <t>closet,private room,closet drawers,hanger,pile of clothes</t>
  </si>
  <si>
    <t>electric fan,water glass,towel,faucet,ventilation fan,bathtub,refrigerator</t>
  </si>
  <si>
    <t>kitchen,bathroom,living room</t>
  </si>
  <si>
    <t>cabinet,kitchen cabinet,bathroom cabinet</t>
  </si>
  <si>
    <t>toilet,sink,faucet,bathroom cabinet,bathroom counter</t>
  </si>
  <si>
    <t>Temperature,Thirst,Play,Laziness,Breathing,Sleep,Injury avoidance,Sensory,Hunger,Conservance,Exhibition,Cognizance,Toxicity avoidance,Achievement,Exposition,Emission,Order,Nursing,Sexual,Nurturance</t>
  </si>
  <si>
    <t>refrigerator,air conditioning,electric fan,faucet,sink,ventilation fan,mug,water glass,bathroom cabinet,bathroom counter,towel rack,bathtub,shower,mirror</t>
  </si>
  <si>
    <t>Hunger,Emission,Conservance,Injury avoidance,Order,Nursing,Nurturance,Exhibition,Sensory,Toxicity avoidance,Retention,Thirst,Play,Sexual,Temperature,Exposition,Sleep,Achievement,Construction,Acquisition</t>
  </si>
  <si>
    <t>tissue,towel</t>
  </si>
  <si>
    <t>bed,sofa,private room,pillow,chair</t>
  </si>
  <si>
    <t>bedroom,living room,kitchen,bathroom</t>
  </si>
  <si>
    <t>refrigerator,banana,box,kitchen cabinet</t>
  </si>
  <si>
    <t>book,desk,folder,notebook</t>
  </si>
  <si>
    <t>toothbrush,toothpaste,sink,mirror,bathroom counter</t>
  </si>
  <si>
    <t>electric fan,stove,private room</t>
  </si>
  <si>
    <t>living room,kitchen,bathroom</t>
  </si>
  <si>
    <t>Exhibition,Construction,Order,Sensory,Sexual,Exposition,Cognizance</t>
  </si>
  <si>
    <t>mirror,bathroom counter,clothes shirt,clothes pants</t>
  </si>
  <si>
    <t>Exhibition,Temperature,Order</t>
  </si>
  <si>
    <t>hanger,cabinet,closet,floor shelf,box</t>
  </si>
  <si>
    <t>hanger,cabinet,pile of clothes,closet,closet drawers</t>
  </si>
  <si>
    <t>floor,kitchen table,garage door,mudroom rug</t>
  </si>
  <si>
    <t>closet,table,desk,closet drawers</t>
  </si>
  <si>
    <t>bed,sofa,pillow,private room,nightstand</t>
  </si>
  <si>
    <t>sofa,bed,desk,bathtub,chair</t>
  </si>
  <si>
    <t>cabinet,kitchen table,kitchen counter,refrigerator,box</t>
  </si>
  <si>
    <t>bedroom,kitchen</t>
  </si>
  <si>
    <t>Conservance,Injury avoidance,Thirst,Temperature,Retention,Order,Nursing,Play,Exhibition,Sleep,Laziness,Sexual,Acquisition,Sensory,Nurturance,Exposition,Toxicity avoidance</t>
  </si>
  <si>
    <t>towel rack,door,closet,ventilation fan,wall</t>
  </si>
  <si>
    <t>bed,sofa,pillow,floor,chair</t>
  </si>
  <si>
    <t>refrigerator,coffee maker,stove,electric fan,bathtub,slippers,mug,private room,chair</t>
  </si>
  <si>
    <t>sink,water glass,faucet,refrigerator</t>
  </si>
  <si>
    <t>Conservance,Nursing,Nurturance,Toxicity avoidance,Emission,Exhibition,Sensory,Exposition,Order,Thirst,Play,Retention</t>
  </si>
  <si>
    <t>sink,toilet,soap,faucet,towel</t>
  </si>
  <si>
    <t>towel rack,hanger socket,door</t>
  </si>
  <si>
    <t>kitchen,bedroom,bathroom</t>
  </si>
  <si>
    <t>Construction,Retention,Order,Exhibition,Conservance,Exposition,Acquisition,Play</t>
  </si>
  <si>
    <t>table,desk,wall,nightstand,bookshelf,TV stand</t>
  </si>
  <si>
    <t>cabinet,refrigerator,kitchen cabinet,kitchen table</t>
  </si>
  <si>
    <t>hanger,cabinet,closet,box</t>
  </si>
  <si>
    <t>chair,kitchen table,sofa,bed,nightstand,desk</t>
  </si>
  <si>
    <t>desk,table,nightstand,closet,chair</t>
  </si>
  <si>
    <t>desk,closet,kitchen cabinet,box</t>
  </si>
  <si>
    <t>hanger,cabinet,closet,closet drawers</t>
  </si>
  <si>
    <t>Retention,Acquisition,Order,Conservance,Play,Construction,Exposition,Exhibition,Achievement,Sleep,Laziness,Sexual</t>
  </si>
  <si>
    <t>bookshelf,box,floor shelf,desk,cabinet</t>
  </si>
  <si>
    <t>kitchen table,sink,table,kitchen counter,bathtub,nightstand</t>
  </si>
  <si>
    <t>sofa,television,chair,bed,private room,TV</t>
  </si>
  <si>
    <t>faucet,coffee pot,refrigerator,wine glass,mug,water glass</t>
  </si>
  <si>
    <t>sofa,bathtub,chair,bed,private room,rug,books,pillow,face cream,slippers</t>
  </si>
  <si>
    <t>toilet,bathtub,bathroomcabinet,bathroom counter,private room</t>
  </si>
  <si>
    <t>sink,kitchen table</t>
  </si>
  <si>
    <t>closet,drawer,pile of clothes</t>
  </si>
  <si>
    <t>mobile phone,computer,TV,television</t>
  </si>
  <si>
    <t>television,computer,mobile phone,sofa</t>
  </si>
  <si>
    <t>bed,sofa,nightstand,pillow,private room</t>
  </si>
  <si>
    <t>cabinet,closet,private room,box</t>
  </si>
  <si>
    <t>Toxicity avoidance,Conservance,Retention,Nursing,Nurturance,Sleep,Exhibition,Order,Injury avoidance,Sensory,Thirst,Play,Emission,Sexual,Cognizance,Breathing,Acquisition,Construction,Exposition</t>
  </si>
  <si>
    <t>sink,bathroom counter,closet,bathroomcabinet</t>
  </si>
  <si>
    <t>cabinet,closet,box,nightstand</t>
  </si>
  <si>
    <t>Retention,Exhibition,Order,Nursing,Sexual,Conservance,Injury avoidance</t>
  </si>
  <si>
    <t>hanger,cabinet,pile of clothes,closet,curtain,nightstand,closet drawers,box,kitchen cabinet</t>
  </si>
  <si>
    <t>Nursing,Play,Nurturance,Laziness,Sensory,Sleep,Injury avoidance</t>
  </si>
  <si>
    <t>chair,sofa,table,baby playmat,crib,bed</t>
  </si>
  <si>
    <t>bathroom counter,bathtub,bed,sofa</t>
  </si>
  <si>
    <t>towel,faucet</t>
  </si>
  <si>
    <t>chair,sofa,table,bench</t>
  </si>
  <si>
    <t>Hunger,Retention,Conservance,Thirst,Construction,Nursing,Order</t>
  </si>
  <si>
    <t>refrigerator,kitchen cabinet,fruit bowl</t>
  </si>
  <si>
    <t>refrigerator,coffee maker</t>
  </si>
  <si>
    <t>garbage,desk,box</t>
  </si>
  <si>
    <t>Hunger,Exposition,Nursing,Laziness,Acquisition,Achievement,Order,Nurturance,Emission,Play,Thirst,Sleep,Retention,Cognizance,Conservance,Construction,Exhibition</t>
  </si>
  <si>
    <t>kitchen table,chair,table</t>
  </si>
  <si>
    <t>shower,bathtub,bathroom counter,bathroomcabinet,towel rack,soap,hair product</t>
  </si>
  <si>
    <t>Nursing,Conservance,Emission,Nurturance,Order,Retention,Injury avoidance,Play,Temperature,Exhibition,Toxicity avoidance,Sleep,Sensory,Thirst,Laziness,Construction,Sexual</t>
  </si>
  <si>
    <t>hanger,towel rack,closet,bathroom cabinet,bathroom counter,table</t>
  </si>
  <si>
    <t>toilet,tissue,garbage</t>
  </si>
  <si>
    <t>desk,bookshelf,table,chair,computer,books</t>
  </si>
  <si>
    <t>wall picture frame,bookshelf,wall</t>
  </si>
  <si>
    <t>Play,Achievement,Exhibition,Acquisition,Exposition,Order,Construction,Conservance,Temperature,Cognizance,Sexual,Laziness,Emission,Nursing</t>
  </si>
  <si>
    <t>kitchen table,computer,desk,chair,bookshelf</t>
  </si>
  <si>
    <t>bed,sofa,bathtub,chair</t>
  </si>
  <si>
    <t>desk,book,folder,notebook,computer,keyboard</t>
  </si>
  <si>
    <t>computer,desk,book</t>
  </si>
  <si>
    <t>sofa,chair,bed,TV</t>
  </si>
  <si>
    <t>nightstand,power socket,private room,sofa</t>
  </si>
  <si>
    <t>chair,bed,sofa</t>
  </si>
  <si>
    <t>desk,kitchen table,computer,keyboard,chair</t>
  </si>
  <si>
    <t>Construction,Conservance,Retention,Order,Sleep,Acquisition,Play,Temperature,Nursing,Cognizance,Thirst,Hunger,Injury avoidance</t>
  </si>
  <si>
    <t>cabinet,closet,kitchen cabinet,desk,box</t>
  </si>
  <si>
    <t>hanger,closet,pile of clothes,nightstand,clothes shirt</t>
  </si>
  <si>
    <t>ventilation fan,refrigerator,electric fan,water glass,sink,faucet,bathtub</t>
  </si>
  <si>
    <t>ventilation fan,refrigerator,electric fan,bathtub,faucet</t>
  </si>
  <si>
    <t>toilet paper,tissue</t>
  </si>
  <si>
    <t>bed,rug,private room,sofa,floor,chair</t>
  </si>
  <si>
    <t>sink,bathroom,kitchen,cafeteria,hand sanitiser station,restroom</t>
  </si>
  <si>
    <t>notebook,smartphone,laptop,tablet,journal,whiteboard,sticky notes,desktop computer,blackboard,notepad</t>
  </si>
  <si>
    <t>sink,faucet</t>
  </si>
  <si>
    <t>electric fan,stove</t>
  </si>
  <si>
    <t>mirror,mobile phone</t>
  </si>
  <si>
    <t>closet,coat rack,wardrobe,hanger,mudroom,entryway,hook,peg</t>
  </si>
  <si>
    <t>library,bookstore,school,home,park</t>
  </si>
  <si>
    <t>closet,coat rack,hook,chair,bench,table,basket,wardrobe,armchair,dresser,dining chair</t>
  </si>
  <si>
    <t>hat rack,coat rack,hall tree,closet,hook,table,chair,shelf</t>
  </si>
  <si>
    <t>bed,pillow,rug,private room,sofa,nightstand,floor,curtain</t>
  </si>
  <si>
    <t>sofa,chair,floor,desk,private room,nightstand</t>
  </si>
  <si>
    <t>To help you determine where you can put your apples, I need the list of possible objects to consider. Please provide the list so I can assist you further!</t>
  </si>
  <si>
    <t>rug,washing machine,hanger socket,ventilation fan,towel</t>
  </si>
  <si>
    <t>bed,sofa,hammock,chaise longue,lounge chair,bean bag,recliner,sun lounger,grass,blanket</t>
  </si>
  <si>
    <t>sink,refrigerator,water glass,faucet</t>
  </si>
  <si>
    <t>faucet,bathtub</t>
  </si>
  <si>
    <t>wall,kitchen table,cabinet,towel rack,bathroom counter,kitchen cabinet,wall,TV stand,mirror,floor shelf,kitchen counter,bookshelf</t>
  </si>
  <si>
    <t>closet,closet drawers,refrigerator</t>
  </si>
  <si>
    <t>hanger,closet,wardrobe,dresser,clothes rack,shelf</t>
  </si>
  <si>
    <t>Chair,Sofa,Stool,Bench,Rocking Chair,Armchair,Recliner,Couch,Ottoman,Futon,Pouffe,Bean Bag,Hammock,Deck Chair,Park Bench,Bar Stool,Chaise Longue</t>
  </si>
  <si>
    <t>desk,table,drawer,shelf,cabinet</t>
  </si>
  <si>
    <t>closet,closet drawers</t>
  </si>
  <si>
    <t>closet,box,cabinet,kitchen cabinet,hanger,closet drawers,TV stand,floor shelf,bookshelf</t>
  </si>
  <si>
    <t>closet,folder,table,closet drawers,desk</t>
  </si>
  <si>
    <t>mug,sink,coffee pot,refrigerator,wine glass,water glass,coffee maker</t>
  </si>
  <si>
    <t>sofa,armchair,bed,lounge chair,recliner,couch,love seat</t>
  </si>
  <si>
    <t>coffee pot,water glass,coffee maker,refrigerator,faucet,mug,wine glass,sink</t>
  </si>
  <si>
    <t>bed,pillow,rug,private room,table lamp,wall lamp,nightstand,sofa,books,book,chair,electric fan,bathtub</t>
  </si>
  <si>
    <t>toilet,private room,toilet paper,faucet,sink,soap,bathtub</t>
  </si>
  <si>
    <t>Order,Conservance,Exposition,Toxicity avoidance</t>
  </si>
  <si>
    <t>kitchen table,kitchen counter</t>
  </si>
  <si>
    <t>Here is a list of objects where you can put your scarf: 
coat rack,drawer,hat rack,box,wardrobe,closet,shelf,dresser,hanger,basket</t>
  </si>
  <si>
    <t>clock,watch,smartphone</t>
  </si>
  <si>
    <t>TV,sofa,mobile phone,television,private room</t>
  </si>
  <si>
    <t>bed,pillow,rug,private room,sofa,nightstand,floor,chair</t>
  </si>
  <si>
    <t>pink bowl</t>
  </si>
  <si>
    <t>faucet,sink,bathtub</t>
  </si>
  <si>
    <t>closet,box,nightstand,closet drawers</t>
  </si>
  <si>
    <t>table,electrical outlet,airport,library,cafe,coffee shop,co working space,office,public place</t>
  </si>
  <si>
    <t>nightstand,ceiling lamp,table lamp,wall lamp</t>
  </si>
  <si>
    <t>closet,drawer,wardrobe,armoire,hanger,shelf,dresser,storage box,hook</t>
  </si>
  <si>
    <t>rug,private room,floor</t>
  </si>
  <si>
    <t>bed,sofa,rug,floor,private room,chair</t>
  </si>
  <si>
    <t>chair,bed,floor,sofa,rug,bathroom cabinet,bathtub</t>
  </si>
  <si>
    <t>notebook,whiteboard,blackboard,computer software,smartphone app,tablet,calculator</t>
  </si>
  <si>
    <t>towel,hand dryer,napkin,paper towel</t>
  </si>
  <si>
    <t>chair,sofa,bench,stool,couch,love seat,armchair,rocking chair,bean bag,futon</t>
  </si>
  <si>
    <t>bed,sofa,floor,chair,bathtub</t>
  </si>
  <si>
    <t>refrigerator,closet,closet drawers</t>
  </si>
  <si>
    <t>bed,sofa,private room,table,chair</t>
  </si>
  <si>
    <t>table,oven tray,dish</t>
  </si>
  <si>
    <t>bathtub,sink,shelf</t>
  </si>
  <si>
    <t>chair,bed,sofa,closet,rug,bathtub,washing machine</t>
  </si>
  <si>
    <t>A correct response to your query requires the list of objects you mentioned, which seems to be missing from your message. Please provide the list of objects you need help with, and I will assist you in identifying those suitable for charging your computer.</t>
  </si>
  <si>
    <t>toilet,garbage,mirror,sink,bathtub</t>
  </si>
  <si>
    <t>Order,Exposition,Acquisition</t>
  </si>
  <si>
    <t>kitchen table,table,desk,chair,bookshelf</t>
  </si>
  <si>
    <t>I'm sorry, but it seems like you're asking for a list of objects where you might work, without providing the context or a list to choose from. Could you please provide the list of objects so I can assist you further?</t>
  </si>
  <si>
    <t>chair,desk,kitchen table,couch,bench,stool,work table</t>
  </si>
  <si>
    <t>bed,sofa,rug,private room,floor,chair</t>
  </si>
  <si>
    <t>computer,desk,table</t>
  </si>
  <si>
    <t>closet,coat rack,shoe rack,wardrobe,entryway bench</t>
  </si>
  <si>
    <t>garden,patio,terrace,balcony,rooftop,yard,veranda,deck,lawn</t>
  </si>
  <si>
    <t>desk,table,wall,charging station,café,library,airport,train station</t>
  </si>
  <si>
    <t>computer,desk,mobile phone,book,table</t>
  </si>
  <si>
    <t>bed,rug,private room,sofa,floor</t>
  </si>
  <si>
    <t>To narrow down the list, please provide the possible objects available for charging your phone while you sleep.</t>
  </si>
  <si>
    <t>chair,stool,couch,bench,bed,sofa</t>
  </si>
  <si>
    <t>chair,desk,table</t>
  </si>
  <si>
    <t>table,counter,kitchen island</t>
  </si>
  <si>
    <t>toolbox,drawer,garage,workshop,utility room</t>
  </si>
  <si>
    <t>recycling bin,shredder,filing cabinet</t>
  </si>
  <si>
    <t>desk,computer,floor,chair</t>
  </si>
  <si>
    <t>I'm sorry, but without more specific information or context about where you typically store your shirts, I can't determine where your pink shirt might be. Can you provide more details or possible locations where it might be found?</t>
  </si>
  <si>
    <t>electric fan,refrigerator,bathtub,ventilation fan,water glass</t>
  </si>
  <si>
    <t>washing machine</t>
  </si>
  <si>
    <t>sink,bathroom,restroom,kitchen,hand sanitizer,public toilet,water fountain</t>
  </si>
  <si>
    <t>cupcake,slices of bread,cereal,syrup,condiment bottle,pie,banana,chocolate,pudding,cutlet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</si>
</sst>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
    <numFmt numFmtId="178" formatCode="0.0"/>
  </numFmts>
  <fonts count="4">
    <font>
      <sz val="11"/>
      <color theme="1"/>
      <name val="Yu Gothic"/>
      <family val="2"/>
      <scheme val="minor"/>
    </font>
    <font>
      <sz val="6"/>
      <name val="Yu Gothic"/>
      <family val="3"/>
      <charset val="128"/>
      <scheme val="minor"/>
    </font>
    <font>
      <sz val="10.5"/>
      <color theme="1"/>
      <name val="游明朝"/>
      <family val="1"/>
      <charset val="128"/>
    </font>
    <font>
      <sz val="11"/>
      <color theme="1"/>
      <name val="Yu Gothic"/>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3" fillId="0" borderId="0">
      <alignment vertical="center"/>
    </xf>
  </cellStyleXfs>
  <cellXfs count="8">
    <xf numFmtId="0" fontId="0" fillId="0" borderId="0" xfId="0"/>
    <xf numFmtId="0" fontId="2" fillId="0" borderId="0" xfId="0" applyFont="1"/>
    <xf numFmtId="0" fontId="2" fillId="0" borderId="0" xfId="0" applyFont="1" applyAlignment="1">
      <alignment horizontal="justify" vertical="center"/>
    </xf>
    <xf numFmtId="176" fontId="0" fillId="0" borderId="0" xfId="0" applyNumberFormat="1"/>
    <xf numFmtId="1" fontId="0" fillId="0" borderId="0" xfId="0" applyNumberFormat="1"/>
    <xf numFmtId="177" fontId="0" fillId="0" borderId="0" xfId="1" applyNumberFormat="1" applyFont="1" applyAlignment="1"/>
    <xf numFmtId="0" fontId="0" fillId="2" borderId="0" xfId="0" applyFill="1"/>
    <xf numFmtId="178" fontId="0" fillId="0" borderId="0" xfId="0" applyNumberFormat="1"/>
  </cellXfs>
  <cellStyles count="2">
    <cellStyle name="パーセント" xfId="1" builtinId="5"/>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FBD91-B52D-4A90-9C62-19BAA83F20D7}">
  <dimension ref="A1:K4"/>
  <sheetViews>
    <sheetView tabSelected="1" workbookViewId="0"/>
  </sheetViews>
  <sheetFormatPr defaultRowHeight="18"/>
  <cols>
    <col min="7" max="7" width="10.1640625" bestFit="1" customWidth="1"/>
  </cols>
  <sheetData>
    <row r="1" spans="1:11">
      <c r="A1" t="s">
        <v>0</v>
      </c>
      <c r="B1" t="s">
        <v>1</v>
      </c>
      <c r="C1" t="s">
        <v>2</v>
      </c>
      <c r="D1" t="s">
        <v>3</v>
      </c>
      <c r="G1" t="s">
        <v>4</v>
      </c>
      <c r="H1" t="s">
        <v>1</v>
      </c>
      <c r="I1" t="s">
        <v>2</v>
      </c>
      <c r="J1" t="s">
        <v>3</v>
      </c>
      <c r="K1" t="s">
        <v>5</v>
      </c>
    </row>
    <row r="2" spans="1:11">
      <c r="A2" t="s">
        <v>6</v>
      </c>
      <c r="B2">
        <f>test_rag_border01_4o!N5</f>
        <v>9.5000000000000001E-2</v>
      </c>
      <c r="C2">
        <f>test_rag_border01_4o!O5</f>
        <v>0.97699999999999998</v>
      </c>
      <c r="D2">
        <f>test_rag_border01_4o!P5</f>
        <v>0.17100000000000001</v>
      </c>
      <c r="G2" t="s">
        <v>6</v>
      </c>
      <c r="H2">
        <f>test_rag_border01_4o!N2</f>
        <v>0.44</v>
      </c>
      <c r="I2">
        <f>test_rag_border01_4o!O2</f>
        <v>0.75600000000000001</v>
      </c>
      <c r="J2" s="3">
        <f>test_rag_border01_4o!P2</f>
        <v>0.49680645161290332</v>
      </c>
      <c r="K2" s="7">
        <f>test_rag_border01_4o!O7</f>
        <v>395.23655913978496</v>
      </c>
    </row>
    <row r="3" spans="1:11">
      <c r="A3" t="s">
        <v>7</v>
      </c>
      <c r="B3">
        <f>test_rag_border02_4o!N5</f>
        <v>0.20699999999999999</v>
      </c>
      <c r="C3">
        <f>test_rag_border02_4o!O5</f>
        <v>0.83899999999999997</v>
      </c>
      <c r="D3">
        <f>test_rag_border02_4o!P5</f>
        <v>0.29099999999999998</v>
      </c>
      <c r="G3" t="s">
        <v>7</v>
      </c>
      <c r="H3">
        <f>test_rag_border02_4o!N2</f>
        <v>0.53900000000000003</v>
      </c>
      <c r="I3">
        <f>test_rag_border02_4o!O2</f>
        <v>0.63100000000000001</v>
      </c>
      <c r="J3" s="3">
        <f>test_rag_border02_4o!P2</f>
        <v>0.54031182795698929</v>
      </c>
      <c r="K3" s="7">
        <f>test_rag_border02_4o!O7</f>
        <v>281.58064516129031</v>
      </c>
    </row>
    <row r="4" spans="1:11">
      <c r="A4" t="s">
        <v>8</v>
      </c>
      <c r="B4">
        <f>test_rag_border03_4o!N5</f>
        <v>0.309</v>
      </c>
      <c r="C4">
        <f>test_rag_border03_4o!O5</f>
        <v>0.36899999999999999</v>
      </c>
      <c r="D4">
        <f>test_rag_border03_4o!P5</f>
        <v>0.308</v>
      </c>
      <c r="G4" t="s">
        <v>8</v>
      </c>
      <c r="H4">
        <f>test_rag_border03_4o!N2</f>
        <v>0.39500000000000002</v>
      </c>
      <c r="I4">
        <f>test_rag_border03_4o!O2</f>
        <v>0.496</v>
      </c>
      <c r="J4" s="3">
        <f>test_rag_border03_4o!P2</f>
        <v>0.40022580645161276</v>
      </c>
      <c r="K4" s="7">
        <f>test_rag_border03_4o!O7</f>
        <v>155.86021505376345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
  <sheetViews>
    <sheetView workbookViewId="0">
      <selection activeCell="J2" sqref="J2"/>
    </sheetView>
  </sheetViews>
  <sheetFormatPr defaultRowHeight="18"/>
  <cols>
    <col min="1" max="1" width="12.4140625" bestFit="1" customWidth="1"/>
    <col min="7" max="7" width="12.4140625" bestFit="1" customWidth="1"/>
    <col min="10" max="10" width="9.6640625" bestFit="1" customWidth="1"/>
    <col min="11" max="11" width="14.33203125" bestFit="1" customWidth="1"/>
  </cols>
  <sheetData>
    <row r="1" spans="1:11">
      <c r="A1" t="s">
        <v>0</v>
      </c>
      <c r="B1" t="s">
        <v>1</v>
      </c>
      <c r="C1" t="s">
        <v>2</v>
      </c>
      <c r="D1" t="s">
        <v>3</v>
      </c>
      <c r="G1" t="s">
        <v>4</v>
      </c>
      <c r="H1" t="s">
        <v>1</v>
      </c>
      <c r="I1" t="s">
        <v>2</v>
      </c>
      <c r="J1" t="s">
        <v>3</v>
      </c>
      <c r="K1" t="s">
        <v>5</v>
      </c>
    </row>
    <row r="2" spans="1:11">
      <c r="A2" t="s">
        <v>6</v>
      </c>
      <c r="B2">
        <f>test_rag_border01!N5</f>
        <v>9.5000000000000001E-2</v>
      </c>
      <c r="C2">
        <f>test_rag_border01!O5</f>
        <v>0.97699999999999998</v>
      </c>
      <c r="D2">
        <f>test_rag_border01!P5</f>
        <v>0.17100000000000001</v>
      </c>
      <c r="G2" t="s">
        <v>6</v>
      </c>
      <c r="H2">
        <f>test_rag_border01!N2</f>
        <v>0.54900000000000004</v>
      </c>
      <c r="I2">
        <f>test_rag_border01!O2</f>
        <v>0.59299999999999997</v>
      </c>
      <c r="J2" s="3">
        <f>test_rag_border01!P2</f>
        <v>0.52700000000000014</v>
      </c>
      <c r="K2" s="7">
        <f>test_rag_border01!O7</f>
        <v>384.10752688172045</v>
      </c>
    </row>
    <row r="3" spans="1:11">
      <c r="A3" t="s">
        <v>7</v>
      </c>
      <c r="B3">
        <f>test_rag_border02!N5</f>
        <v>0.20499999999999999</v>
      </c>
      <c r="C3">
        <f>test_rag_border02!O5</f>
        <v>0.83899999999999997</v>
      </c>
      <c r="D3">
        <f>test_rag_border02!P5</f>
        <v>0.28999999999999998</v>
      </c>
      <c r="G3" t="s">
        <v>7</v>
      </c>
      <c r="H3">
        <f>test_rag_border02!N2</f>
        <v>0.58299999999999996</v>
      </c>
      <c r="I3">
        <f>test_rag_border02!O2</f>
        <v>0.627</v>
      </c>
      <c r="J3" s="3">
        <f>test_rag_border02!P2</f>
        <v>0.55205376344086032</v>
      </c>
      <c r="K3" s="7">
        <f>test_rag_border02!O7</f>
        <v>281.03225806451616</v>
      </c>
    </row>
    <row r="4" spans="1:11">
      <c r="A4" t="s">
        <v>8</v>
      </c>
      <c r="B4">
        <f>test_rag_border03!N5</f>
        <v>0.308</v>
      </c>
      <c r="C4">
        <f>test_rag_border03!O5</f>
        <v>0.36899999999999999</v>
      </c>
      <c r="D4">
        <f>test_rag_border03!P5</f>
        <v>0.307</v>
      </c>
      <c r="G4" t="s">
        <v>8</v>
      </c>
      <c r="H4">
        <f>test_rag_border03!N2</f>
        <v>0.45400000000000001</v>
      </c>
      <c r="I4">
        <f>test_rag_border03!O2</f>
        <v>0.45900000000000002</v>
      </c>
      <c r="J4" s="3">
        <f>test_rag_border03!P2</f>
        <v>0.42206451612903223</v>
      </c>
      <c r="K4" s="7">
        <f>test_rag_border03!O7</f>
        <v>149.8279569892473</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270C8-5114-4FE5-9FDF-3594ABB6F695}">
  <dimension ref="A1:P94"/>
  <sheetViews>
    <sheetView workbookViewId="0">
      <selection activeCell="O4" sqref="O4"/>
    </sheetView>
  </sheetViews>
  <sheetFormatPr defaultRowHeight="18"/>
  <sheetData>
    <row r="1" spans="1:16">
      <c r="A1" t="s">
        <v>9</v>
      </c>
      <c r="B1" t="s">
        <v>10</v>
      </c>
      <c r="C1" t="s">
        <v>11</v>
      </c>
      <c r="D1" t="s">
        <v>12</v>
      </c>
      <c r="E1" t="s">
        <v>13</v>
      </c>
      <c r="F1" t="s">
        <v>14</v>
      </c>
      <c r="G1" t="s">
        <v>15</v>
      </c>
      <c r="H1" t="s">
        <v>16</v>
      </c>
      <c r="I1" t="s">
        <v>17</v>
      </c>
      <c r="J1" t="s">
        <v>18</v>
      </c>
      <c r="K1" t="s">
        <v>19</v>
      </c>
      <c r="L1" t="s">
        <v>20</v>
      </c>
      <c r="M1" t="s">
        <v>21</v>
      </c>
      <c r="N1" t="s">
        <v>1</v>
      </c>
      <c r="O1" t="s">
        <v>2</v>
      </c>
      <c r="P1" s="3" t="s">
        <v>3</v>
      </c>
    </row>
    <row r="2" spans="1:16">
      <c r="A2" t="s">
        <v>22</v>
      </c>
      <c r="B2" s="1" t="s">
        <v>23</v>
      </c>
      <c r="C2" t="s">
        <v>24</v>
      </c>
      <c r="D2" t="s">
        <v>767</v>
      </c>
      <c r="E2" t="s">
        <v>768</v>
      </c>
      <c r="F2" t="s">
        <v>533</v>
      </c>
      <c r="G2">
        <v>0.1</v>
      </c>
      <c r="H2">
        <v>1</v>
      </c>
      <c r="I2">
        <f t="shared" ref="I2:I65" si="0">IF(G2+H2=0,0,2*G2*H2/(G2+H2))</f>
        <v>0.18181818181818182</v>
      </c>
      <c r="J2">
        <v>0.66700000000000004</v>
      </c>
      <c r="K2">
        <v>0.66700000000000004</v>
      </c>
      <c r="L2">
        <v>343</v>
      </c>
      <c r="M2">
        <f t="shared" ref="M2:M65" si="1">IF(J2+K2=0,0,ROUND(2*J2*K2/(J2+K2),3))</f>
        <v>0.66700000000000004</v>
      </c>
      <c r="N2" s="3">
        <f>ROUND(AVERAGE(J2:J94),3)</f>
        <v>0.44</v>
      </c>
      <c r="O2" s="3">
        <f>ROUND(AVERAGE(K2:K94),3)</f>
        <v>0.75600000000000001</v>
      </c>
      <c r="P2" s="3">
        <f>SUM(M2:M94)/93</f>
        <v>0.49680645161290332</v>
      </c>
    </row>
    <row r="3" spans="1:16">
      <c r="A3" t="s">
        <v>28</v>
      </c>
      <c r="B3" s="1" t="s">
        <v>29</v>
      </c>
      <c r="C3" t="s">
        <v>30</v>
      </c>
      <c r="D3" t="s">
        <v>31</v>
      </c>
      <c r="E3" t="s">
        <v>769</v>
      </c>
      <c r="F3" t="s">
        <v>417</v>
      </c>
      <c r="G3">
        <v>0.1</v>
      </c>
      <c r="H3">
        <v>1</v>
      </c>
      <c r="I3">
        <f t="shared" si="0"/>
        <v>0.18181818181818182</v>
      </c>
      <c r="J3">
        <v>0.57099999999999995</v>
      </c>
      <c r="K3">
        <v>0.8</v>
      </c>
      <c r="L3">
        <v>404</v>
      </c>
      <c r="M3">
        <f t="shared" si="1"/>
        <v>0.66600000000000004</v>
      </c>
      <c r="P3" s="3"/>
    </row>
    <row r="4" spans="1:16">
      <c r="A4" t="s">
        <v>34</v>
      </c>
      <c r="B4" s="1" t="s">
        <v>35</v>
      </c>
      <c r="C4" t="s">
        <v>36</v>
      </c>
      <c r="D4" t="s">
        <v>770</v>
      </c>
      <c r="E4" t="s">
        <v>771</v>
      </c>
      <c r="F4" t="s">
        <v>39</v>
      </c>
      <c r="G4">
        <v>0.05</v>
      </c>
      <c r="H4">
        <v>1</v>
      </c>
      <c r="I4">
        <f t="shared" si="0"/>
        <v>9.5238095238095233E-2</v>
      </c>
      <c r="J4">
        <v>0.42899999999999999</v>
      </c>
      <c r="K4">
        <v>1</v>
      </c>
      <c r="L4">
        <v>405</v>
      </c>
      <c r="M4">
        <f t="shared" si="1"/>
        <v>0.6</v>
      </c>
    </row>
    <row r="5" spans="1:16">
      <c r="A5" t="s">
        <v>40</v>
      </c>
      <c r="B5" s="1" t="s">
        <v>41</v>
      </c>
      <c r="C5" t="s">
        <v>42</v>
      </c>
      <c r="D5" t="s">
        <v>772</v>
      </c>
      <c r="E5" t="s">
        <v>773</v>
      </c>
      <c r="F5" t="s">
        <v>774</v>
      </c>
      <c r="G5">
        <v>0.1</v>
      </c>
      <c r="H5">
        <v>1</v>
      </c>
      <c r="I5">
        <f t="shared" si="0"/>
        <v>0.18181818181818182</v>
      </c>
      <c r="J5">
        <v>0.33300000000000002</v>
      </c>
      <c r="K5">
        <v>1</v>
      </c>
      <c r="L5">
        <v>410</v>
      </c>
      <c r="M5">
        <f t="shared" si="1"/>
        <v>0.5</v>
      </c>
      <c r="N5" s="3">
        <f>ROUND(AVERAGE(G2:G94),3)</f>
        <v>9.5000000000000001E-2</v>
      </c>
      <c r="O5" s="3">
        <f>ROUND(AVERAGE(H2:H94),3)</f>
        <v>0.97699999999999998</v>
      </c>
      <c r="P5" s="3">
        <f>ROUND(AVERAGE(I2:I94),3)</f>
        <v>0.17100000000000001</v>
      </c>
    </row>
    <row r="6" spans="1:16">
      <c r="A6" t="s">
        <v>46</v>
      </c>
      <c r="B6" s="1" t="s">
        <v>47</v>
      </c>
      <c r="C6" t="s">
        <v>48</v>
      </c>
      <c r="D6" t="s">
        <v>775</v>
      </c>
      <c r="E6" t="s">
        <v>776</v>
      </c>
      <c r="F6" t="s">
        <v>777</v>
      </c>
      <c r="G6">
        <v>0.1</v>
      </c>
      <c r="H6">
        <v>1</v>
      </c>
      <c r="I6">
        <f t="shared" si="0"/>
        <v>0.18181818181818182</v>
      </c>
      <c r="J6">
        <v>0.308</v>
      </c>
      <c r="K6">
        <v>1</v>
      </c>
      <c r="L6">
        <v>351</v>
      </c>
      <c r="M6">
        <f t="shared" si="1"/>
        <v>0.47099999999999997</v>
      </c>
      <c r="O6" t="s">
        <v>52</v>
      </c>
    </row>
    <row r="7" spans="1:16">
      <c r="A7" t="s">
        <v>53</v>
      </c>
      <c r="B7" s="1" t="s">
        <v>54</v>
      </c>
      <c r="C7" t="s">
        <v>55</v>
      </c>
      <c r="D7" t="s">
        <v>56</v>
      </c>
      <c r="E7" t="s">
        <v>778</v>
      </c>
      <c r="F7" t="s">
        <v>39</v>
      </c>
      <c r="G7">
        <v>0.1</v>
      </c>
      <c r="H7">
        <v>1</v>
      </c>
      <c r="I7">
        <f t="shared" si="0"/>
        <v>0.18181818181818182</v>
      </c>
      <c r="J7">
        <v>0.66700000000000004</v>
      </c>
      <c r="K7">
        <v>0.8</v>
      </c>
      <c r="L7">
        <v>403</v>
      </c>
      <c r="M7">
        <f t="shared" si="1"/>
        <v>0.72699999999999998</v>
      </c>
      <c r="O7" s="4">
        <f>AVERAGE(L2:L94)</f>
        <v>395.23655913978496</v>
      </c>
    </row>
    <row r="8" spans="1:16">
      <c r="A8" t="s">
        <v>58</v>
      </c>
      <c r="B8" s="1" t="s">
        <v>59</v>
      </c>
      <c r="C8" t="s">
        <v>60</v>
      </c>
      <c r="D8" t="s">
        <v>779</v>
      </c>
      <c r="E8" t="s">
        <v>780</v>
      </c>
      <c r="F8" t="s">
        <v>774</v>
      </c>
      <c r="G8">
        <v>0.05</v>
      </c>
      <c r="H8">
        <v>1</v>
      </c>
      <c r="I8">
        <f t="shared" si="0"/>
        <v>9.5238095238095233E-2</v>
      </c>
      <c r="J8">
        <v>0.1</v>
      </c>
      <c r="K8">
        <v>0.5</v>
      </c>
      <c r="L8">
        <v>417</v>
      </c>
      <c r="M8">
        <f t="shared" si="1"/>
        <v>0.16700000000000001</v>
      </c>
      <c r="O8" t="s">
        <v>63</v>
      </c>
    </row>
    <row r="9" spans="1:16">
      <c r="A9" t="s">
        <v>64</v>
      </c>
      <c r="B9" s="1" t="s">
        <v>65</v>
      </c>
      <c r="C9" t="s">
        <v>66</v>
      </c>
      <c r="D9" t="s">
        <v>781</v>
      </c>
      <c r="E9" t="s">
        <v>66</v>
      </c>
      <c r="F9" t="s">
        <v>187</v>
      </c>
      <c r="G9">
        <v>0.15</v>
      </c>
      <c r="H9">
        <v>1</v>
      </c>
      <c r="I9">
        <f t="shared" si="0"/>
        <v>0.2608695652173913</v>
      </c>
      <c r="J9">
        <v>1</v>
      </c>
      <c r="K9">
        <v>1</v>
      </c>
      <c r="L9">
        <v>381</v>
      </c>
      <c r="M9">
        <f t="shared" si="1"/>
        <v>1</v>
      </c>
      <c r="O9" s="3">
        <f>_xlfn.STDEV.P(L2:L94)</f>
        <v>27.374109834581841</v>
      </c>
    </row>
    <row r="10" spans="1:16">
      <c r="A10" t="s">
        <v>69</v>
      </c>
      <c r="B10" s="1" t="s">
        <v>70</v>
      </c>
      <c r="C10" t="s">
        <v>71</v>
      </c>
      <c r="D10" t="s">
        <v>72</v>
      </c>
      <c r="E10" t="s">
        <v>782</v>
      </c>
      <c r="F10" t="s">
        <v>783</v>
      </c>
      <c r="G10">
        <v>0.1</v>
      </c>
      <c r="H10">
        <v>1</v>
      </c>
      <c r="I10">
        <f t="shared" si="0"/>
        <v>0.18181818181818182</v>
      </c>
      <c r="J10">
        <v>0.4</v>
      </c>
      <c r="K10">
        <v>1</v>
      </c>
      <c r="L10">
        <v>402</v>
      </c>
      <c r="M10">
        <f t="shared" si="1"/>
        <v>0.57099999999999995</v>
      </c>
    </row>
    <row r="11" spans="1:16">
      <c r="A11" t="s">
        <v>75</v>
      </c>
      <c r="B11" s="1" t="s">
        <v>76</v>
      </c>
      <c r="C11" t="s">
        <v>77</v>
      </c>
      <c r="D11" t="s">
        <v>78</v>
      </c>
      <c r="E11" t="s">
        <v>784</v>
      </c>
      <c r="F11" t="s">
        <v>417</v>
      </c>
      <c r="G11">
        <v>0.16700000000000001</v>
      </c>
      <c r="H11">
        <v>1</v>
      </c>
      <c r="I11">
        <f t="shared" si="0"/>
        <v>0.28620394173093405</v>
      </c>
      <c r="J11">
        <v>0.54500000000000004</v>
      </c>
      <c r="K11">
        <v>1</v>
      </c>
      <c r="L11">
        <v>321</v>
      </c>
      <c r="M11">
        <f t="shared" si="1"/>
        <v>0.70599999999999996</v>
      </c>
    </row>
    <row r="12" spans="1:16">
      <c r="A12" t="s">
        <v>81</v>
      </c>
      <c r="B12" s="1" t="s">
        <v>70</v>
      </c>
      <c r="C12" t="s">
        <v>71</v>
      </c>
      <c r="D12" t="s">
        <v>72</v>
      </c>
      <c r="E12" t="s">
        <v>785</v>
      </c>
      <c r="F12" t="s">
        <v>417</v>
      </c>
      <c r="G12">
        <v>0.1</v>
      </c>
      <c r="H12">
        <v>1</v>
      </c>
      <c r="I12">
        <f t="shared" si="0"/>
        <v>0.18181818181818182</v>
      </c>
      <c r="J12">
        <v>0.14299999999999999</v>
      </c>
      <c r="K12">
        <v>1</v>
      </c>
      <c r="L12">
        <v>424</v>
      </c>
      <c r="M12">
        <f t="shared" si="1"/>
        <v>0.25</v>
      </c>
    </row>
    <row r="13" spans="1:16">
      <c r="A13" t="s">
        <v>83</v>
      </c>
      <c r="B13" s="1" t="s">
        <v>41</v>
      </c>
      <c r="C13" t="s">
        <v>84</v>
      </c>
      <c r="D13" t="s">
        <v>786</v>
      </c>
      <c r="E13" t="s">
        <v>787</v>
      </c>
      <c r="F13" t="s">
        <v>788</v>
      </c>
      <c r="G13">
        <v>0.1</v>
      </c>
      <c r="H13">
        <v>1</v>
      </c>
      <c r="I13">
        <f t="shared" si="0"/>
        <v>0.18181818181818182</v>
      </c>
      <c r="J13">
        <v>0.16700000000000001</v>
      </c>
      <c r="K13">
        <v>0.5</v>
      </c>
      <c r="L13">
        <v>397</v>
      </c>
      <c r="M13">
        <f t="shared" si="1"/>
        <v>0.25</v>
      </c>
    </row>
    <row r="14" spans="1:16">
      <c r="A14" t="s">
        <v>87</v>
      </c>
      <c r="B14" s="1" t="s">
        <v>88</v>
      </c>
      <c r="C14" t="s">
        <v>89</v>
      </c>
      <c r="D14" t="s">
        <v>789</v>
      </c>
      <c r="E14" t="s">
        <v>790</v>
      </c>
      <c r="F14" t="s">
        <v>417</v>
      </c>
      <c r="G14">
        <v>0.05</v>
      </c>
      <c r="H14">
        <v>1</v>
      </c>
      <c r="I14">
        <f t="shared" si="0"/>
        <v>9.5238095238095233E-2</v>
      </c>
      <c r="J14">
        <v>0.222</v>
      </c>
      <c r="K14">
        <v>0.8</v>
      </c>
      <c r="L14">
        <v>437</v>
      </c>
      <c r="M14">
        <f t="shared" si="1"/>
        <v>0.34799999999999998</v>
      </c>
    </row>
    <row r="15" spans="1:16">
      <c r="A15" t="s">
        <v>92</v>
      </c>
      <c r="B15" s="1" t="s">
        <v>93</v>
      </c>
      <c r="C15" t="s">
        <v>30</v>
      </c>
      <c r="D15" t="s">
        <v>31</v>
      </c>
      <c r="E15" t="s">
        <v>791</v>
      </c>
      <c r="F15" t="s">
        <v>417</v>
      </c>
      <c r="G15">
        <v>0.1</v>
      </c>
      <c r="H15">
        <v>1</v>
      </c>
      <c r="I15">
        <f t="shared" si="0"/>
        <v>0.18181818181818182</v>
      </c>
      <c r="J15">
        <v>0.35299999999999998</v>
      </c>
      <c r="K15">
        <v>1</v>
      </c>
      <c r="L15">
        <v>432</v>
      </c>
      <c r="M15">
        <f t="shared" si="1"/>
        <v>0.52200000000000002</v>
      </c>
    </row>
    <row r="16" spans="1:16">
      <c r="A16" t="s">
        <v>95</v>
      </c>
      <c r="B16" s="1" t="s">
        <v>96</v>
      </c>
      <c r="C16" t="s">
        <v>97</v>
      </c>
      <c r="D16" t="s">
        <v>98</v>
      </c>
      <c r="E16" t="s">
        <v>792</v>
      </c>
      <c r="F16" t="s">
        <v>417</v>
      </c>
      <c r="G16">
        <v>0.05</v>
      </c>
      <c r="H16">
        <v>1</v>
      </c>
      <c r="I16">
        <f t="shared" si="0"/>
        <v>9.5238095238095233E-2</v>
      </c>
      <c r="J16">
        <v>0.5</v>
      </c>
      <c r="K16">
        <v>0.5</v>
      </c>
      <c r="L16">
        <v>410</v>
      </c>
      <c r="M16">
        <f t="shared" si="1"/>
        <v>0.5</v>
      </c>
    </row>
    <row r="17" spans="1:13">
      <c r="A17" t="s">
        <v>100</v>
      </c>
      <c r="B17" s="1" t="s">
        <v>41</v>
      </c>
      <c r="C17" t="s">
        <v>101</v>
      </c>
      <c r="D17" t="s">
        <v>793</v>
      </c>
      <c r="E17" t="s">
        <v>794</v>
      </c>
      <c r="F17" t="s">
        <v>795</v>
      </c>
      <c r="G17">
        <v>0.1</v>
      </c>
      <c r="H17">
        <v>1</v>
      </c>
      <c r="I17">
        <f t="shared" si="0"/>
        <v>0.18181818181818182</v>
      </c>
      <c r="J17">
        <v>0.3</v>
      </c>
      <c r="K17">
        <v>0.85699999999999998</v>
      </c>
      <c r="L17">
        <v>440</v>
      </c>
      <c r="M17">
        <f t="shared" si="1"/>
        <v>0.44400000000000001</v>
      </c>
    </row>
    <row r="18" spans="1:13">
      <c r="A18" t="s">
        <v>104</v>
      </c>
      <c r="B18" s="1" t="s">
        <v>41</v>
      </c>
      <c r="C18" t="s">
        <v>105</v>
      </c>
      <c r="D18" t="s">
        <v>106</v>
      </c>
      <c r="E18" t="s">
        <v>796</v>
      </c>
      <c r="F18" t="s">
        <v>797</v>
      </c>
      <c r="G18">
        <v>0.1</v>
      </c>
      <c r="H18">
        <v>1</v>
      </c>
      <c r="I18">
        <f t="shared" si="0"/>
        <v>0.18181818181818182</v>
      </c>
      <c r="J18">
        <v>0.13300000000000001</v>
      </c>
      <c r="K18">
        <v>1</v>
      </c>
      <c r="L18">
        <v>433</v>
      </c>
      <c r="M18">
        <f t="shared" si="1"/>
        <v>0.23499999999999999</v>
      </c>
    </row>
    <row r="19" spans="1:13">
      <c r="A19" t="s">
        <v>108</v>
      </c>
      <c r="B19" s="1" t="s">
        <v>109</v>
      </c>
      <c r="C19" t="s">
        <v>110</v>
      </c>
      <c r="D19" t="s">
        <v>798</v>
      </c>
      <c r="E19" t="s">
        <v>799</v>
      </c>
      <c r="F19" t="s">
        <v>417</v>
      </c>
      <c r="G19">
        <v>0.15</v>
      </c>
      <c r="H19">
        <v>1</v>
      </c>
      <c r="I19">
        <f t="shared" si="0"/>
        <v>0.2608695652173913</v>
      </c>
      <c r="J19">
        <v>0.5</v>
      </c>
      <c r="K19">
        <v>0.5</v>
      </c>
      <c r="L19">
        <v>397</v>
      </c>
      <c r="M19">
        <f t="shared" si="1"/>
        <v>0.5</v>
      </c>
    </row>
    <row r="20" spans="1:13">
      <c r="A20" t="s">
        <v>113</v>
      </c>
      <c r="B20" s="1" t="s">
        <v>114</v>
      </c>
      <c r="C20" t="s">
        <v>60</v>
      </c>
      <c r="D20" t="s">
        <v>115</v>
      </c>
      <c r="E20" t="s">
        <v>800</v>
      </c>
      <c r="F20" t="s">
        <v>417</v>
      </c>
      <c r="G20">
        <v>0.05</v>
      </c>
      <c r="H20">
        <v>0.5</v>
      </c>
      <c r="I20">
        <f t="shared" si="0"/>
        <v>9.0909090909090912E-2</v>
      </c>
      <c r="J20">
        <v>8.6999999999999994E-2</v>
      </c>
      <c r="K20">
        <v>1</v>
      </c>
      <c r="L20">
        <v>449</v>
      </c>
      <c r="M20">
        <f t="shared" si="1"/>
        <v>0.16</v>
      </c>
    </row>
    <row r="21" spans="1:13">
      <c r="A21" t="s">
        <v>117</v>
      </c>
      <c r="B21" s="1" t="s">
        <v>118</v>
      </c>
      <c r="C21" t="s">
        <v>119</v>
      </c>
      <c r="D21" t="s">
        <v>120</v>
      </c>
      <c r="E21" t="s">
        <v>801</v>
      </c>
      <c r="F21" t="s">
        <v>122</v>
      </c>
      <c r="G21">
        <v>0.05</v>
      </c>
      <c r="H21">
        <v>1</v>
      </c>
      <c r="I21">
        <f t="shared" si="0"/>
        <v>9.5238095238095233E-2</v>
      </c>
      <c r="J21">
        <v>0.8</v>
      </c>
      <c r="K21">
        <v>0.8</v>
      </c>
      <c r="L21">
        <v>394</v>
      </c>
      <c r="M21">
        <f t="shared" si="1"/>
        <v>0.8</v>
      </c>
    </row>
    <row r="22" spans="1:13">
      <c r="A22" t="s">
        <v>123</v>
      </c>
      <c r="B22" s="1" t="s">
        <v>124</v>
      </c>
      <c r="C22" t="s">
        <v>125</v>
      </c>
      <c r="D22" t="s">
        <v>802</v>
      </c>
      <c r="E22" t="s">
        <v>803</v>
      </c>
      <c r="F22" t="s">
        <v>39</v>
      </c>
      <c r="G22">
        <v>0.15</v>
      </c>
      <c r="H22">
        <v>1</v>
      </c>
      <c r="I22">
        <f t="shared" si="0"/>
        <v>0.2608695652173913</v>
      </c>
      <c r="J22">
        <v>0.75</v>
      </c>
      <c r="K22">
        <v>0.75</v>
      </c>
      <c r="L22">
        <v>352</v>
      </c>
      <c r="M22">
        <f t="shared" si="1"/>
        <v>0.75</v>
      </c>
    </row>
    <row r="23" spans="1:13">
      <c r="A23" t="s">
        <v>128</v>
      </c>
      <c r="B23" s="1" t="s">
        <v>88</v>
      </c>
      <c r="C23" t="s">
        <v>129</v>
      </c>
      <c r="D23" t="s">
        <v>130</v>
      </c>
      <c r="E23" t="s">
        <v>804</v>
      </c>
      <c r="F23" t="s">
        <v>783</v>
      </c>
      <c r="G23">
        <v>0.05</v>
      </c>
      <c r="H23">
        <v>1</v>
      </c>
      <c r="I23">
        <f t="shared" si="0"/>
        <v>9.5238095238095233E-2</v>
      </c>
      <c r="J23">
        <v>0.25</v>
      </c>
      <c r="K23">
        <v>0.5</v>
      </c>
      <c r="L23">
        <v>360</v>
      </c>
      <c r="M23">
        <f t="shared" si="1"/>
        <v>0.33300000000000002</v>
      </c>
    </row>
    <row r="24" spans="1:13">
      <c r="A24" t="s">
        <v>131</v>
      </c>
      <c r="B24" s="1" t="s">
        <v>41</v>
      </c>
      <c r="C24" t="s">
        <v>132</v>
      </c>
      <c r="D24" t="s">
        <v>133</v>
      </c>
      <c r="E24" t="s">
        <v>805</v>
      </c>
      <c r="F24" t="s">
        <v>417</v>
      </c>
      <c r="G24">
        <v>0.1</v>
      </c>
      <c r="H24">
        <v>1</v>
      </c>
      <c r="I24">
        <f t="shared" si="0"/>
        <v>0.18181818181818182</v>
      </c>
      <c r="J24">
        <v>9.5000000000000001E-2</v>
      </c>
      <c r="K24">
        <v>0.5</v>
      </c>
      <c r="L24">
        <v>445</v>
      </c>
      <c r="M24">
        <f t="shared" si="1"/>
        <v>0.16</v>
      </c>
    </row>
    <row r="25" spans="1:13">
      <c r="A25" t="s">
        <v>135</v>
      </c>
      <c r="B25" s="1" t="s">
        <v>136</v>
      </c>
      <c r="C25" t="s">
        <v>137</v>
      </c>
      <c r="D25" t="s">
        <v>138</v>
      </c>
      <c r="E25" t="s">
        <v>806</v>
      </c>
      <c r="F25" t="s">
        <v>795</v>
      </c>
      <c r="G25">
        <v>0.15</v>
      </c>
      <c r="H25">
        <v>1</v>
      </c>
      <c r="I25">
        <f t="shared" si="0"/>
        <v>0.2608695652173913</v>
      </c>
      <c r="J25">
        <v>0.308</v>
      </c>
      <c r="K25">
        <v>0.66700000000000004</v>
      </c>
      <c r="L25">
        <v>428</v>
      </c>
      <c r="M25">
        <f t="shared" si="1"/>
        <v>0.42099999999999999</v>
      </c>
    </row>
    <row r="26" spans="1:13">
      <c r="A26" t="s">
        <v>140</v>
      </c>
      <c r="B26" s="1" t="s">
        <v>41</v>
      </c>
      <c r="C26" t="s">
        <v>71</v>
      </c>
      <c r="D26" t="s">
        <v>141</v>
      </c>
      <c r="E26" t="s">
        <v>807</v>
      </c>
      <c r="F26" t="s">
        <v>417</v>
      </c>
      <c r="G26">
        <v>0.1</v>
      </c>
      <c r="H26">
        <v>1</v>
      </c>
      <c r="I26">
        <f t="shared" si="0"/>
        <v>0.18181818181818182</v>
      </c>
      <c r="J26">
        <v>0.154</v>
      </c>
      <c r="K26">
        <v>1</v>
      </c>
      <c r="L26">
        <v>378</v>
      </c>
      <c r="M26">
        <f t="shared" si="1"/>
        <v>0.26700000000000002</v>
      </c>
    </row>
    <row r="27" spans="1:13">
      <c r="A27" t="s">
        <v>142</v>
      </c>
      <c r="B27" s="1" t="s">
        <v>143</v>
      </c>
      <c r="C27" t="s">
        <v>144</v>
      </c>
      <c r="D27" t="s">
        <v>808</v>
      </c>
      <c r="E27" t="s">
        <v>809</v>
      </c>
      <c r="F27" t="s">
        <v>417</v>
      </c>
      <c r="G27">
        <v>0.05</v>
      </c>
      <c r="H27">
        <v>1</v>
      </c>
      <c r="I27">
        <f t="shared" si="0"/>
        <v>9.5238095238095233E-2</v>
      </c>
      <c r="J27">
        <v>0.36399999999999999</v>
      </c>
      <c r="K27">
        <v>1</v>
      </c>
      <c r="L27">
        <v>395</v>
      </c>
      <c r="M27">
        <f t="shared" si="1"/>
        <v>0.53400000000000003</v>
      </c>
    </row>
    <row r="28" spans="1:13">
      <c r="A28" t="s">
        <v>147</v>
      </c>
      <c r="B28" s="1" t="s">
        <v>88</v>
      </c>
      <c r="C28" t="s">
        <v>148</v>
      </c>
      <c r="D28" t="s">
        <v>149</v>
      </c>
      <c r="E28" t="s">
        <v>810</v>
      </c>
      <c r="F28" t="s">
        <v>417</v>
      </c>
      <c r="G28">
        <v>0.05</v>
      </c>
      <c r="H28">
        <v>1</v>
      </c>
      <c r="I28">
        <f t="shared" si="0"/>
        <v>9.5238095238095233E-2</v>
      </c>
      <c r="J28">
        <v>0.16700000000000001</v>
      </c>
      <c r="K28">
        <v>1</v>
      </c>
      <c r="L28">
        <v>361</v>
      </c>
      <c r="M28">
        <f t="shared" si="1"/>
        <v>0.28599999999999998</v>
      </c>
    </row>
    <row r="29" spans="1:13">
      <c r="A29" t="s">
        <v>151</v>
      </c>
      <c r="B29" s="1" t="s">
        <v>88</v>
      </c>
      <c r="C29" t="s">
        <v>152</v>
      </c>
      <c r="D29" t="s">
        <v>811</v>
      </c>
      <c r="E29" t="s">
        <v>812</v>
      </c>
      <c r="F29" t="s">
        <v>417</v>
      </c>
      <c r="G29">
        <v>0.05</v>
      </c>
      <c r="H29">
        <v>1</v>
      </c>
      <c r="I29">
        <f t="shared" si="0"/>
        <v>9.5238095238095233E-2</v>
      </c>
      <c r="J29">
        <v>0.222</v>
      </c>
      <c r="K29">
        <v>0.66700000000000004</v>
      </c>
      <c r="L29">
        <v>400</v>
      </c>
      <c r="M29">
        <f t="shared" si="1"/>
        <v>0.33300000000000002</v>
      </c>
    </row>
    <row r="30" spans="1:13">
      <c r="A30" t="s">
        <v>155</v>
      </c>
      <c r="B30" s="1" t="s">
        <v>156</v>
      </c>
      <c r="C30" t="s">
        <v>157</v>
      </c>
      <c r="D30" t="s">
        <v>158</v>
      </c>
      <c r="E30" t="s">
        <v>813</v>
      </c>
      <c r="F30" t="s">
        <v>797</v>
      </c>
      <c r="G30">
        <v>0.15</v>
      </c>
      <c r="H30">
        <v>1</v>
      </c>
      <c r="I30">
        <f t="shared" si="0"/>
        <v>0.2608695652173913</v>
      </c>
      <c r="J30">
        <v>0.33300000000000002</v>
      </c>
      <c r="K30">
        <v>1</v>
      </c>
      <c r="L30">
        <v>412</v>
      </c>
      <c r="M30">
        <f t="shared" si="1"/>
        <v>0.5</v>
      </c>
    </row>
    <row r="31" spans="1:13">
      <c r="A31" t="s">
        <v>160</v>
      </c>
      <c r="B31" s="1" t="s">
        <v>156</v>
      </c>
      <c r="C31" t="s">
        <v>161</v>
      </c>
      <c r="D31" t="s">
        <v>162</v>
      </c>
      <c r="E31" t="s">
        <v>814</v>
      </c>
      <c r="F31" t="s">
        <v>417</v>
      </c>
      <c r="G31">
        <v>0.15</v>
      </c>
      <c r="H31">
        <v>1</v>
      </c>
      <c r="I31">
        <f t="shared" si="0"/>
        <v>0.2608695652173913</v>
      </c>
      <c r="J31">
        <v>7.6999999999999999E-2</v>
      </c>
      <c r="K31">
        <v>0.5</v>
      </c>
      <c r="L31">
        <v>422</v>
      </c>
      <c r="M31">
        <f t="shared" si="1"/>
        <v>0.13300000000000001</v>
      </c>
    </row>
    <row r="32" spans="1:13">
      <c r="A32" t="s">
        <v>164</v>
      </c>
      <c r="B32" s="1" t="s">
        <v>165</v>
      </c>
      <c r="C32" t="s">
        <v>166</v>
      </c>
      <c r="D32" t="s">
        <v>167</v>
      </c>
      <c r="E32" t="s">
        <v>815</v>
      </c>
      <c r="F32" t="s">
        <v>417</v>
      </c>
      <c r="G32">
        <v>0.15</v>
      </c>
      <c r="H32">
        <v>1</v>
      </c>
      <c r="I32">
        <f t="shared" si="0"/>
        <v>0.2608695652173913</v>
      </c>
      <c r="J32">
        <v>0.23799999999999999</v>
      </c>
      <c r="K32">
        <v>1</v>
      </c>
      <c r="L32">
        <v>440</v>
      </c>
      <c r="M32">
        <f t="shared" si="1"/>
        <v>0.38400000000000001</v>
      </c>
    </row>
    <row r="33" spans="1:13">
      <c r="A33" s="6" t="s">
        <v>169</v>
      </c>
      <c r="B33" s="1" t="s">
        <v>170</v>
      </c>
      <c r="C33" t="s">
        <v>171</v>
      </c>
      <c r="D33" t="s">
        <v>172</v>
      </c>
      <c r="E33" t="s">
        <v>816</v>
      </c>
      <c r="F33" t="s">
        <v>417</v>
      </c>
      <c r="G33">
        <v>0.1</v>
      </c>
      <c r="H33">
        <v>1</v>
      </c>
      <c r="I33">
        <f t="shared" si="0"/>
        <v>0.18181818181818182</v>
      </c>
      <c r="J33">
        <v>0.8</v>
      </c>
      <c r="K33">
        <v>0.8</v>
      </c>
      <c r="L33">
        <v>344</v>
      </c>
      <c r="M33">
        <f t="shared" si="1"/>
        <v>0.8</v>
      </c>
    </row>
    <row r="34" spans="1:13">
      <c r="A34" t="s">
        <v>174</v>
      </c>
      <c r="B34" s="1" t="s">
        <v>118</v>
      </c>
      <c r="C34" t="s">
        <v>175</v>
      </c>
      <c r="D34" t="s">
        <v>176</v>
      </c>
      <c r="E34" t="s">
        <v>817</v>
      </c>
      <c r="F34" t="s">
        <v>51</v>
      </c>
      <c r="G34">
        <v>0.05</v>
      </c>
      <c r="H34">
        <v>1</v>
      </c>
      <c r="I34">
        <f t="shared" si="0"/>
        <v>9.5238095238095233E-2</v>
      </c>
      <c r="J34">
        <v>0</v>
      </c>
      <c r="K34">
        <v>0</v>
      </c>
      <c r="L34">
        <v>393</v>
      </c>
      <c r="M34">
        <f t="shared" si="1"/>
        <v>0</v>
      </c>
    </row>
    <row r="35" spans="1:13">
      <c r="A35" t="s">
        <v>178</v>
      </c>
      <c r="B35" s="1" t="s">
        <v>29</v>
      </c>
      <c r="C35" t="s">
        <v>179</v>
      </c>
      <c r="D35" t="s">
        <v>180</v>
      </c>
      <c r="E35" t="s">
        <v>818</v>
      </c>
      <c r="F35" t="s">
        <v>417</v>
      </c>
      <c r="G35">
        <v>0.1</v>
      </c>
      <c r="H35">
        <v>1</v>
      </c>
      <c r="I35">
        <f t="shared" si="0"/>
        <v>0.18181818181818182</v>
      </c>
      <c r="J35">
        <v>0.85699999999999998</v>
      </c>
      <c r="K35">
        <v>0.83299999999999996</v>
      </c>
      <c r="L35">
        <v>351</v>
      </c>
      <c r="M35">
        <f t="shared" si="1"/>
        <v>0.84499999999999997</v>
      </c>
    </row>
    <row r="36" spans="1:13">
      <c r="A36" t="s">
        <v>182</v>
      </c>
      <c r="B36" s="1" t="s">
        <v>183</v>
      </c>
      <c r="C36" t="s">
        <v>184</v>
      </c>
      <c r="D36" t="s">
        <v>185</v>
      </c>
      <c r="E36" t="s">
        <v>819</v>
      </c>
      <c r="F36" t="s">
        <v>39</v>
      </c>
      <c r="G36">
        <v>0.05</v>
      </c>
      <c r="H36">
        <v>1</v>
      </c>
      <c r="I36">
        <f t="shared" si="0"/>
        <v>9.5238095238095233E-2</v>
      </c>
      <c r="J36">
        <v>0.16700000000000001</v>
      </c>
      <c r="K36">
        <v>1</v>
      </c>
      <c r="L36">
        <v>406</v>
      </c>
      <c r="M36">
        <f t="shared" si="1"/>
        <v>0.28599999999999998</v>
      </c>
    </row>
    <row r="37" spans="1:13">
      <c r="A37" t="s">
        <v>188</v>
      </c>
      <c r="B37" s="1" t="s">
        <v>189</v>
      </c>
      <c r="C37" t="s">
        <v>190</v>
      </c>
      <c r="D37" t="s">
        <v>191</v>
      </c>
      <c r="E37" t="s">
        <v>190</v>
      </c>
      <c r="F37" t="s">
        <v>39</v>
      </c>
      <c r="G37">
        <v>0.1</v>
      </c>
      <c r="H37">
        <v>1</v>
      </c>
      <c r="I37">
        <f t="shared" si="0"/>
        <v>0.18181818181818182</v>
      </c>
      <c r="J37">
        <v>1</v>
      </c>
      <c r="K37">
        <v>1</v>
      </c>
      <c r="L37">
        <v>394</v>
      </c>
      <c r="M37">
        <f t="shared" si="1"/>
        <v>1</v>
      </c>
    </row>
    <row r="38" spans="1:13">
      <c r="A38" t="s">
        <v>193</v>
      </c>
      <c r="B38" s="1" t="s">
        <v>88</v>
      </c>
      <c r="C38" t="s">
        <v>194</v>
      </c>
      <c r="D38" t="s">
        <v>820</v>
      </c>
      <c r="E38" t="s">
        <v>821</v>
      </c>
      <c r="F38" t="s">
        <v>417</v>
      </c>
      <c r="G38">
        <v>0.05</v>
      </c>
      <c r="H38">
        <v>1</v>
      </c>
      <c r="I38">
        <f t="shared" si="0"/>
        <v>9.5238095238095233E-2</v>
      </c>
      <c r="J38">
        <v>0.214</v>
      </c>
      <c r="K38">
        <v>1</v>
      </c>
      <c r="L38">
        <v>426</v>
      </c>
      <c r="M38">
        <f t="shared" si="1"/>
        <v>0.35299999999999998</v>
      </c>
    </row>
    <row r="39" spans="1:13">
      <c r="A39" t="s">
        <v>197</v>
      </c>
      <c r="B39" s="1" t="s">
        <v>198</v>
      </c>
      <c r="C39" t="s">
        <v>199</v>
      </c>
      <c r="D39" t="s">
        <v>822</v>
      </c>
      <c r="E39" t="s">
        <v>823</v>
      </c>
      <c r="F39" t="s">
        <v>51</v>
      </c>
      <c r="G39">
        <v>0.1</v>
      </c>
      <c r="H39">
        <v>1</v>
      </c>
      <c r="I39">
        <f t="shared" si="0"/>
        <v>0.18181818181818182</v>
      </c>
      <c r="J39">
        <v>0.33300000000000002</v>
      </c>
      <c r="K39">
        <v>0.66700000000000004</v>
      </c>
      <c r="L39">
        <v>396</v>
      </c>
      <c r="M39">
        <f t="shared" si="1"/>
        <v>0.44400000000000001</v>
      </c>
    </row>
    <row r="40" spans="1:13">
      <c r="A40" t="s">
        <v>202</v>
      </c>
      <c r="B40" s="1" t="s">
        <v>203</v>
      </c>
      <c r="C40" t="s">
        <v>204</v>
      </c>
      <c r="D40" t="s">
        <v>205</v>
      </c>
      <c r="E40" t="s">
        <v>824</v>
      </c>
      <c r="F40" t="s">
        <v>51</v>
      </c>
      <c r="G40">
        <v>0.05</v>
      </c>
      <c r="H40">
        <v>1</v>
      </c>
      <c r="I40">
        <f t="shared" si="0"/>
        <v>9.5238095238095233E-2</v>
      </c>
      <c r="J40">
        <v>0.4</v>
      </c>
      <c r="K40">
        <v>0.5</v>
      </c>
      <c r="L40">
        <v>397</v>
      </c>
      <c r="M40">
        <f t="shared" si="1"/>
        <v>0.44400000000000001</v>
      </c>
    </row>
    <row r="41" spans="1:13">
      <c r="A41" t="s">
        <v>207</v>
      </c>
      <c r="B41" s="1" t="s">
        <v>29</v>
      </c>
      <c r="C41" t="s">
        <v>208</v>
      </c>
      <c r="D41" t="s">
        <v>31</v>
      </c>
      <c r="E41" t="s">
        <v>825</v>
      </c>
      <c r="F41" t="s">
        <v>417</v>
      </c>
      <c r="G41">
        <v>0.1</v>
      </c>
      <c r="H41">
        <v>1</v>
      </c>
      <c r="I41">
        <f t="shared" si="0"/>
        <v>0.18181818181818182</v>
      </c>
      <c r="J41">
        <v>0.4</v>
      </c>
      <c r="K41">
        <v>1</v>
      </c>
      <c r="L41">
        <v>411</v>
      </c>
      <c r="M41">
        <f t="shared" si="1"/>
        <v>0.57099999999999995</v>
      </c>
    </row>
    <row r="42" spans="1:13">
      <c r="A42" t="s">
        <v>209</v>
      </c>
      <c r="B42" s="1" t="s">
        <v>210</v>
      </c>
      <c r="C42" t="s">
        <v>211</v>
      </c>
      <c r="D42" t="s">
        <v>212</v>
      </c>
      <c r="E42" t="s">
        <v>213</v>
      </c>
      <c r="F42" t="s">
        <v>45</v>
      </c>
      <c r="G42">
        <v>0.15</v>
      </c>
      <c r="H42">
        <v>1</v>
      </c>
      <c r="I42">
        <f t="shared" si="0"/>
        <v>0.2608695652173913</v>
      </c>
      <c r="J42">
        <v>0</v>
      </c>
      <c r="K42">
        <v>0</v>
      </c>
      <c r="L42">
        <v>390</v>
      </c>
      <c r="M42">
        <f t="shared" si="1"/>
        <v>0</v>
      </c>
    </row>
    <row r="43" spans="1:13">
      <c r="A43" t="s">
        <v>214</v>
      </c>
      <c r="B43" s="1" t="s">
        <v>215</v>
      </c>
      <c r="C43" t="s">
        <v>216</v>
      </c>
      <c r="D43" t="s">
        <v>217</v>
      </c>
      <c r="E43" t="s">
        <v>826</v>
      </c>
      <c r="F43" t="s">
        <v>417</v>
      </c>
      <c r="G43">
        <v>0.1</v>
      </c>
      <c r="H43">
        <v>1</v>
      </c>
      <c r="I43">
        <f t="shared" si="0"/>
        <v>0.18181818181818182</v>
      </c>
      <c r="J43">
        <v>0.4</v>
      </c>
      <c r="K43">
        <v>0.8</v>
      </c>
      <c r="L43">
        <v>404</v>
      </c>
      <c r="M43">
        <f t="shared" si="1"/>
        <v>0.53300000000000003</v>
      </c>
    </row>
    <row r="44" spans="1:13">
      <c r="A44" t="s">
        <v>219</v>
      </c>
      <c r="B44" s="1" t="s">
        <v>41</v>
      </c>
      <c r="C44" t="s">
        <v>220</v>
      </c>
      <c r="D44" t="s">
        <v>221</v>
      </c>
      <c r="E44" t="s">
        <v>647</v>
      </c>
      <c r="F44" t="s">
        <v>187</v>
      </c>
      <c r="G44">
        <v>0.1</v>
      </c>
      <c r="H44">
        <v>1</v>
      </c>
      <c r="I44">
        <f t="shared" si="0"/>
        <v>0.18181818181818182</v>
      </c>
      <c r="J44">
        <v>1</v>
      </c>
      <c r="K44">
        <v>0.25</v>
      </c>
      <c r="L44">
        <v>335</v>
      </c>
      <c r="M44">
        <f t="shared" si="1"/>
        <v>0.4</v>
      </c>
    </row>
    <row r="45" spans="1:13">
      <c r="A45" t="s">
        <v>223</v>
      </c>
      <c r="B45" s="1" t="s">
        <v>224</v>
      </c>
      <c r="C45" t="s">
        <v>119</v>
      </c>
      <c r="D45" t="s">
        <v>225</v>
      </c>
      <c r="E45" t="s">
        <v>827</v>
      </c>
      <c r="F45" t="s">
        <v>122</v>
      </c>
      <c r="G45">
        <v>0.1</v>
      </c>
      <c r="H45">
        <v>1</v>
      </c>
      <c r="I45">
        <f t="shared" si="0"/>
        <v>0.18181818181818182</v>
      </c>
      <c r="J45">
        <v>0.38500000000000001</v>
      </c>
      <c r="K45">
        <v>1</v>
      </c>
      <c r="L45">
        <v>406</v>
      </c>
      <c r="M45">
        <f t="shared" si="1"/>
        <v>0.55600000000000005</v>
      </c>
    </row>
    <row r="46" spans="1:13">
      <c r="A46" t="s">
        <v>226</v>
      </c>
      <c r="B46" s="1" t="s">
        <v>88</v>
      </c>
      <c r="C46" t="s">
        <v>157</v>
      </c>
      <c r="D46" t="s">
        <v>828</v>
      </c>
      <c r="E46" t="s">
        <v>829</v>
      </c>
      <c r="F46" t="s">
        <v>417</v>
      </c>
      <c r="G46">
        <v>0.05</v>
      </c>
      <c r="H46">
        <v>1</v>
      </c>
      <c r="I46">
        <f t="shared" si="0"/>
        <v>9.5238095238095233E-2</v>
      </c>
      <c r="J46">
        <v>0.25</v>
      </c>
      <c r="K46">
        <v>0.66700000000000004</v>
      </c>
      <c r="L46">
        <v>413</v>
      </c>
      <c r="M46">
        <f t="shared" si="1"/>
        <v>0.36399999999999999</v>
      </c>
    </row>
    <row r="47" spans="1:13">
      <c r="A47" t="s">
        <v>229</v>
      </c>
      <c r="B47" s="1" t="s">
        <v>230</v>
      </c>
      <c r="C47" t="s">
        <v>231</v>
      </c>
      <c r="D47" t="s">
        <v>232</v>
      </c>
      <c r="E47" t="s">
        <v>347</v>
      </c>
      <c r="F47" t="s">
        <v>788</v>
      </c>
      <c r="G47">
        <v>0.13300000000000001</v>
      </c>
      <c r="H47">
        <v>1</v>
      </c>
      <c r="I47">
        <f t="shared" si="0"/>
        <v>0.23477493380406003</v>
      </c>
      <c r="J47">
        <v>1</v>
      </c>
      <c r="K47">
        <v>0.25</v>
      </c>
      <c r="L47">
        <v>330</v>
      </c>
      <c r="M47">
        <f t="shared" si="1"/>
        <v>0.4</v>
      </c>
    </row>
    <row r="48" spans="1:13">
      <c r="A48" t="s">
        <v>234</v>
      </c>
      <c r="B48" s="1" t="s">
        <v>88</v>
      </c>
      <c r="C48" t="s">
        <v>235</v>
      </c>
      <c r="D48" t="s">
        <v>830</v>
      </c>
      <c r="E48" t="s">
        <v>831</v>
      </c>
      <c r="F48" t="s">
        <v>417</v>
      </c>
      <c r="G48">
        <v>0.05</v>
      </c>
      <c r="H48">
        <v>1</v>
      </c>
      <c r="I48">
        <f t="shared" si="0"/>
        <v>9.5238095238095233E-2</v>
      </c>
      <c r="J48">
        <v>1</v>
      </c>
      <c r="K48">
        <v>1</v>
      </c>
      <c r="L48">
        <v>395</v>
      </c>
      <c r="M48">
        <f t="shared" si="1"/>
        <v>1</v>
      </c>
    </row>
    <row r="49" spans="1:13">
      <c r="A49" t="s">
        <v>238</v>
      </c>
      <c r="B49" s="1" t="s">
        <v>215</v>
      </c>
      <c r="C49" t="s">
        <v>239</v>
      </c>
      <c r="D49" t="s">
        <v>832</v>
      </c>
      <c r="E49" t="s">
        <v>833</v>
      </c>
      <c r="F49" t="s">
        <v>417</v>
      </c>
      <c r="G49">
        <v>0.1</v>
      </c>
      <c r="H49">
        <v>1</v>
      </c>
      <c r="I49">
        <f t="shared" si="0"/>
        <v>0.18181818181818182</v>
      </c>
      <c r="J49">
        <v>0.3</v>
      </c>
      <c r="K49">
        <v>0.75</v>
      </c>
      <c r="L49">
        <v>408</v>
      </c>
      <c r="M49">
        <f t="shared" si="1"/>
        <v>0.42899999999999999</v>
      </c>
    </row>
    <row r="50" spans="1:13">
      <c r="A50" t="s">
        <v>241</v>
      </c>
      <c r="B50" s="1" t="s">
        <v>203</v>
      </c>
      <c r="C50" t="s">
        <v>242</v>
      </c>
      <c r="D50" t="s">
        <v>243</v>
      </c>
      <c r="E50" t="s">
        <v>834</v>
      </c>
      <c r="F50" t="s">
        <v>417</v>
      </c>
      <c r="G50">
        <v>0.05</v>
      </c>
      <c r="H50">
        <v>1</v>
      </c>
      <c r="I50">
        <f t="shared" si="0"/>
        <v>9.5238095238095233E-2</v>
      </c>
      <c r="J50">
        <v>0.4</v>
      </c>
      <c r="K50">
        <v>1</v>
      </c>
      <c r="L50">
        <v>408</v>
      </c>
      <c r="M50">
        <f t="shared" si="1"/>
        <v>0.57099999999999995</v>
      </c>
    </row>
    <row r="51" spans="1:13">
      <c r="A51" t="s">
        <v>245</v>
      </c>
      <c r="B51" s="1" t="s">
        <v>29</v>
      </c>
      <c r="C51" t="s">
        <v>208</v>
      </c>
      <c r="D51" t="s">
        <v>31</v>
      </c>
      <c r="E51" t="s">
        <v>835</v>
      </c>
      <c r="F51" t="s">
        <v>417</v>
      </c>
      <c r="G51">
        <v>0.1</v>
      </c>
      <c r="H51">
        <v>1</v>
      </c>
      <c r="I51">
        <f t="shared" si="0"/>
        <v>0.18181818181818182</v>
      </c>
      <c r="J51">
        <v>0.375</v>
      </c>
      <c r="K51">
        <v>0.75</v>
      </c>
      <c r="L51">
        <v>406</v>
      </c>
      <c r="M51">
        <f t="shared" si="1"/>
        <v>0.5</v>
      </c>
    </row>
    <row r="52" spans="1:13">
      <c r="A52" t="s">
        <v>246</v>
      </c>
      <c r="B52" s="1" t="s">
        <v>247</v>
      </c>
      <c r="C52" t="s">
        <v>248</v>
      </c>
      <c r="D52" t="s">
        <v>249</v>
      </c>
      <c r="E52" t="s">
        <v>836</v>
      </c>
      <c r="F52" t="s">
        <v>417</v>
      </c>
      <c r="G52">
        <v>0.15</v>
      </c>
      <c r="H52">
        <v>1</v>
      </c>
      <c r="I52">
        <f t="shared" si="0"/>
        <v>0.2608695652173913</v>
      </c>
      <c r="J52">
        <v>0.3</v>
      </c>
      <c r="K52">
        <v>0.75</v>
      </c>
      <c r="L52">
        <v>413</v>
      </c>
      <c r="M52">
        <f t="shared" si="1"/>
        <v>0.42899999999999999</v>
      </c>
    </row>
    <row r="53" spans="1:13">
      <c r="A53" t="s">
        <v>251</v>
      </c>
      <c r="B53" s="1" t="s">
        <v>47</v>
      </c>
      <c r="C53" t="s">
        <v>252</v>
      </c>
      <c r="D53" t="s">
        <v>253</v>
      </c>
      <c r="E53" t="s">
        <v>837</v>
      </c>
      <c r="F53" t="s">
        <v>424</v>
      </c>
      <c r="G53">
        <v>0.1</v>
      </c>
      <c r="H53">
        <v>1</v>
      </c>
      <c r="I53">
        <f t="shared" si="0"/>
        <v>0.18181818181818182</v>
      </c>
      <c r="J53">
        <v>0.75</v>
      </c>
      <c r="K53">
        <v>0.75</v>
      </c>
      <c r="L53">
        <v>395</v>
      </c>
      <c r="M53">
        <f t="shared" si="1"/>
        <v>0.75</v>
      </c>
    </row>
    <row r="54" spans="1:13">
      <c r="A54" t="s">
        <v>255</v>
      </c>
      <c r="B54" s="1" t="s">
        <v>23</v>
      </c>
      <c r="C54" t="s">
        <v>256</v>
      </c>
      <c r="D54" t="s">
        <v>257</v>
      </c>
      <c r="E54" t="s">
        <v>838</v>
      </c>
      <c r="F54" t="s">
        <v>39</v>
      </c>
      <c r="G54">
        <v>0.1</v>
      </c>
      <c r="H54">
        <v>1</v>
      </c>
      <c r="I54">
        <f t="shared" si="0"/>
        <v>0.18181818181818182</v>
      </c>
      <c r="J54">
        <v>0.375</v>
      </c>
      <c r="K54">
        <v>1</v>
      </c>
      <c r="L54">
        <v>412</v>
      </c>
      <c r="M54">
        <f t="shared" si="1"/>
        <v>0.54500000000000004</v>
      </c>
    </row>
    <row r="55" spans="1:13">
      <c r="A55" t="s">
        <v>259</v>
      </c>
      <c r="B55" s="1" t="s">
        <v>143</v>
      </c>
      <c r="C55" t="s">
        <v>260</v>
      </c>
      <c r="D55" t="s">
        <v>261</v>
      </c>
      <c r="E55" t="s">
        <v>839</v>
      </c>
      <c r="F55" t="s">
        <v>417</v>
      </c>
      <c r="G55">
        <v>0.05</v>
      </c>
      <c r="H55">
        <v>1</v>
      </c>
      <c r="I55">
        <f t="shared" si="0"/>
        <v>9.5238095238095233E-2</v>
      </c>
      <c r="J55">
        <v>0.5</v>
      </c>
      <c r="K55">
        <v>0.83299999999999996</v>
      </c>
      <c r="L55">
        <v>406</v>
      </c>
      <c r="M55">
        <f t="shared" si="1"/>
        <v>0.625</v>
      </c>
    </row>
    <row r="56" spans="1:13">
      <c r="A56" t="s">
        <v>263</v>
      </c>
      <c r="B56" s="1" t="s">
        <v>93</v>
      </c>
      <c r="C56" t="s">
        <v>264</v>
      </c>
      <c r="D56" t="s">
        <v>265</v>
      </c>
      <c r="E56" t="s">
        <v>840</v>
      </c>
      <c r="F56" t="s">
        <v>417</v>
      </c>
      <c r="G56">
        <v>0.1</v>
      </c>
      <c r="H56">
        <v>1</v>
      </c>
      <c r="I56">
        <f t="shared" si="0"/>
        <v>0.18181818181818182</v>
      </c>
      <c r="J56">
        <v>0.42899999999999999</v>
      </c>
      <c r="K56">
        <v>0.75</v>
      </c>
      <c r="L56">
        <v>400</v>
      </c>
      <c r="M56">
        <f t="shared" si="1"/>
        <v>0.54600000000000004</v>
      </c>
    </row>
    <row r="57" spans="1:13">
      <c r="A57" t="s">
        <v>267</v>
      </c>
      <c r="B57" s="1" t="s">
        <v>268</v>
      </c>
      <c r="C57" t="s">
        <v>269</v>
      </c>
      <c r="D57" t="s">
        <v>841</v>
      </c>
      <c r="E57" t="s">
        <v>42</v>
      </c>
      <c r="F57" t="s">
        <v>45</v>
      </c>
      <c r="G57">
        <v>0.15</v>
      </c>
      <c r="H57">
        <v>1</v>
      </c>
      <c r="I57">
        <f t="shared" si="0"/>
        <v>0.2608695652173913</v>
      </c>
      <c r="J57">
        <v>0.5</v>
      </c>
      <c r="K57">
        <v>0.5</v>
      </c>
      <c r="L57">
        <v>397</v>
      </c>
      <c r="M57">
        <f t="shared" si="1"/>
        <v>0.5</v>
      </c>
    </row>
    <row r="58" spans="1:13">
      <c r="A58" t="s">
        <v>271</v>
      </c>
      <c r="B58" s="1" t="s">
        <v>272</v>
      </c>
      <c r="C58" t="s">
        <v>273</v>
      </c>
      <c r="D58" t="s">
        <v>842</v>
      </c>
      <c r="E58" t="s">
        <v>273</v>
      </c>
      <c r="F58" t="s">
        <v>45</v>
      </c>
      <c r="G58">
        <v>0.1</v>
      </c>
      <c r="H58">
        <v>0.66700000000000004</v>
      </c>
      <c r="I58">
        <f t="shared" si="0"/>
        <v>0.17392438070404173</v>
      </c>
      <c r="J58">
        <v>1</v>
      </c>
      <c r="K58">
        <v>1</v>
      </c>
      <c r="L58">
        <v>349</v>
      </c>
      <c r="M58">
        <f t="shared" si="1"/>
        <v>1</v>
      </c>
    </row>
    <row r="59" spans="1:13">
      <c r="A59" t="s">
        <v>276</v>
      </c>
      <c r="B59" s="1" t="s">
        <v>277</v>
      </c>
      <c r="C59" t="s">
        <v>278</v>
      </c>
      <c r="D59" t="s">
        <v>843</v>
      </c>
      <c r="E59" t="s">
        <v>278</v>
      </c>
      <c r="F59" t="s">
        <v>27</v>
      </c>
      <c r="G59">
        <v>0.1</v>
      </c>
      <c r="H59">
        <v>1</v>
      </c>
      <c r="I59">
        <f t="shared" si="0"/>
        <v>0.18181818181818182</v>
      </c>
      <c r="J59">
        <v>1</v>
      </c>
      <c r="K59">
        <v>1</v>
      </c>
      <c r="L59">
        <v>341</v>
      </c>
      <c r="M59">
        <f t="shared" si="1"/>
        <v>1</v>
      </c>
    </row>
    <row r="60" spans="1:13">
      <c r="A60" t="s">
        <v>281</v>
      </c>
      <c r="B60" s="1" t="s">
        <v>29</v>
      </c>
      <c r="C60" t="s">
        <v>264</v>
      </c>
      <c r="D60" t="s">
        <v>282</v>
      </c>
      <c r="E60" t="s">
        <v>844</v>
      </c>
      <c r="F60" t="s">
        <v>417</v>
      </c>
      <c r="G60">
        <v>0.1</v>
      </c>
      <c r="H60">
        <v>1</v>
      </c>
      <c r="I60">
        <f t="shared" si="0"/>
        <v>0.18181818181818182</v>
      </c>
      <c r="J60">
        <v>0.42899999999999999</v>
      </c>
      <c r="K60">
        <v>0.75</v>
      </c>
      <c r="L60">
        <v>398</v>
      </c>
      <c r="M60">
        <f t="shared" si="1"/>
        <v>0.54600000000000004</v>
      </c>
    </row>
    <row r="61" spans="1:13">
      <c r="A61" t="s">
        <v>284</v>
      </c>
      <c r="B61" s="1" t="s">
        <v>285</v>
      </c>
      <c r="C61" t="s">
        <v>286</v>
      </c>
      <c r="D61" t="s">
        <v>845</v>
      </c>
      <c r="E61" t="s">
        <v>846</v>
      </c>
      <c r="F61" t="s">
        <v>847</v>
      </c>
      <c r="G61">
        <v>0.1</v>
      </c>
      <c r="H61">
        <v>1</v>
      </c>
      <c r="I61">
        <f t="shared" si="0"/>
        <v>0.18181818181818182</v>
      </c>
      <c r="J61">
        <v>0.6</v>
      </c>
      <c r="K61">
        <v>0.75</v>
      </c>
      <c r="L61">
        <v>401</v>
      </c>
      <c r="M61">
        <f t="shared" si="1"/>
        <v>0.66700000000000004</v>
      </c>
    </row>
    <row r="62" spans="1:13">
      <c r="A62" t="s">
        <v>289</v>
      </c>
      <c r="B62" s="1" t="s">
        <v>290</v>
      </c>
      <c r="C62" t="s">
        <v>291</v>
      </c>
      <c r="D62" t="s">
        <v>292</v>
      </c>
      <c r="E62" t="s">
        <v>848</v>
      </c>
      <c r="F62" t="s">
        <v>621</v>
      </c>
      <c r="G62">
        <v>0.1</v>
      </c>
      <c r="H62">
        <v>1</v>
      </c>
      <c r="I62">
        <f t="shared" si="0"/>
        <v>0.18181818181818182</v>
      </c>
      <c r="J62">
        <v>0.222</v>
      </c>
      <c r="K62">
        <v>1</v>
      </c>
      <c r="L62">
        <v>419</v>
      </c>
      <c r="M62">
        <f t="shared" si="1"/>
        <v>0.36299999999999999</v>
      </c>
    </row>
    <row r="63" spans="1:13">
      <c r="A63" t="s">
        <v>294</v>
      </c>
      <c r="B63" s="1" t="s">
        <v>88</v>
      </c>
      <c r="C63" t="s">
        <v>295</v>
      </c>
      <c r="D63" t="s">
        <v>296</v>
      </c>
      <c r="E63" t="s">
        <v>849</v>
      </c>
      <c r="F63" t="s">
        <v>788</v>
      </c>
      <c r="G63">
        <v>0.05</v>
      </c>
      <c r="H63">
        <v>1</v>
      </c>
      <c r="I63">
        <f t="shared" si="0"/>
        <v>9.5238095238095233E-2</v>
      </c>
      <c r="J63">
        <v>0.2</v>
      </c>
      <c r="K63">
        <v>0.25</v>
      </c>
      <c r="L63">
        <v>369</v>
      </c>
      <c r="M63">
        <f t="shared" si="1"/>
        <v>0.222</v>
      </c>
    </row>
    <row r="64" spans="1:13">
      <c r="A64" t="s">
        <v>298</v>
      </c>
      <c r="B64" s="1" t="s">
        <v>299</v>
      </c>
      <c r="C64" t="s">
        <v>233</v>
      </c>
      <c r="D64" t="s">
        <v>850</v>
      </c>
      <c r="E64" t="s">
        <v>851</v>
      </c>
      <c r="F64" t="s">
        <v>852</v>
      </c>
      <c r="G64">
        <v>0.13300000000000001</v>
      </c>
      <c r="H64">
        <v>0.66700000000000004</v>
      </c>
      <c r="I64">
        <f t="shared" si="0"/>
        <v>0.22177750000000002</v>
      </c>
      <c r="J64">
        <v>0.5</v>
      </c>
      <c r="K64">
        <v>1</v>
      </c>
      <c r="L64">
        <v>375</v>
      </c>
      <c r="M64">
        <f t="shared" si="1"/>
        <v>0.66700000000000004</v>
      </c>
    </row>
    <row r="65" spans="1:13">
      <c r="A65" t="s">
        <v>302</v>
      </c>
      <c r="B65" s="1" t="s">
        <v>277</v>
      </c>
      <c r="C65" t="s">
        <v>278</v>
      </c>
      <c r="D65" t="s">
        <v>303</v>
      </c>
      <c r="E65" t="s">
        <v>853</v>
      </c>
      <c r="F65" t="s">
        <v>122</v>
      </c>
      <c r="G65">
        <v>0.1</v>
      </c>
      <c r="H65">
        <v>1</v>
      </c>
      <c r="I65">
        <f t="shared" si="0"/>
        <v>0.18181818181818182</v>
      </c>
      <c r="J65">
        <v>0.33300000000000002</v>
      </c>
      <c r="K65">
        <v>1</v>
      </c>
      <c r="L65">
        <v>348</v>
      </c>
      <c r="M65">
        <f t="shared" si="1"/>
        <v>0.5</v>
      </c>
    </row>
    <row r="66" spans="1:13">
      <c r="A66" t="s">
        <v>305</v>
      </c>
      <c r="B66" s="1" t="s">
        <v>47</v>
      </c>
      <c r="C66" t="s">
        <v>306</v>
      </c>
      <c r="D66" t="s">
        <v>307</v>
      </c>
      <c r="E66" t="s">
        <v>854</v>
      </c>
      <c r="F66" t="s">
        <v>788</v>
      </c>
      <c r="G66">
        <v>0.1</v>
      </c>
      <c r="H66">
        <v>1</v>
      </c>
      <c r="I66">
        <f t="shared" ref="I66:I94" si="2">IF(G66+H66=0,0,2*G66*H66/(G66+H66))</f>
        <v>0.18181818181818182</v>
      </c>
      <c r="J66">
        <v>0.36399999999999999</v>
      </c>
      <c r="K66">
        <v>1</v>
      </c>
      <c r="L66">
        <v>412</v>
      </c>
      <c r="M66">
        <f t="shared" ref="M66:M94" si="3">IF(J66+K66=0,0,ROUND(2*J66*K66/(J66+K66),3))</f>
        <v>0.53400000000000003</v>
      </c>
    </row>
    <row r="67" spans="1:13">
      <c r="A67" t="s">
        <v>309</v>
      </c>
      <c r="B67" s="1" t="s">
        <v>310</v>
      </c>
      <c r="C67" t="s">
        <v>311</v>
      </c>
      <c r="D67" t="s">
        <v>855</v>
      </c>
      <c r="E67" t="s">
        <v>856</v>
      </c>
      <c r="F67" t="s">
        <v>788</v>
      </c>
      <c r="G67">
        <v>0.05</v>
      </c>
      <c r="H67">
        <v>0.5</v>
      </c>
      <c r="I67">
        <f t="shared" si="2"/>
        <v>9.0909090909090912E-2</v>
      </c>
      <c r="J67">
        <v>0.5</v>
      </c>
      <c r="K67">
        <v>0.25</v>
      </c>
      <c r="L67">
        <v>391</v>
      </c>
      <c r="M67">
        <f t="shared" si="3"/>
        <v>0.33300000000000002</v>
      </c>
    </row>
    <row r="68" spans="1:13">
      <c r="A68" t="s">
        <v>314</v>
      </c>
      <c r="B68" s="1" t="s">
        <v>315</v>
      </c>
      <c r="C68" t="s">
        <v>316</v>
      </c>
      <c r="D68" t="s">
        <v>857</v>
      </c>
      <c r="E68" t="s">
        <v>858</v>
      </c>
      <c r="F68" t="s">
        <v>777</v>
      </c>
      <c r="G68">
        <v>0.05</v>
      </c>
      <c r="H68">
        <v>1</v>
      </c>
      <c r="I68">
        <f t="shared" si="2"/>
        <v>9.5238095238095233E-2</v>
      </c>
      <c r="J68">
        <v>0.57099999999999995</v>
      </c>
      <c r="K68">
        <v>1</v>
      </c>
      <c r="L68">
        <v>403</v>
      </c>
      <c r="M68">
        <f t="shared" si="3"/>
        <v>0.72699999999999998</v>
      </c>
    </row>
    <row r="69" spans="1:13">
      <c r="A69" t="s">
        <v>319</v>
      </c>
      <c r="B69" s="1" t="s">
        <v>320</v>
      </c>
      <c r="C69" t="s">
        <v>321</v>
      </c>
      <c r="D69" t="s">
        <v>322</v>
      </c>
      <c r="E69" t="s">
        <v>859</v>
      </c>
      <c r="F69" t="s">
        <v>847</v>
      </c>
      <c r="G69">
        <v>0.1</v>
      </c>
      <c r="H69">
        <v>1</v>
      </c>
      <c r="I69">
        <f t="shared" si="2"/>
        <v>0.18181818181818182</v>
      </c>
      <c r="J69">
        <v>0.6</v>
      </c>
      <c r="K69">
        <v>0.75</v>
      </c>
      <c r="L69">
        <v>333</v>
      </c>
      <c r="M69">
        <f t="shared" si="3"/>
        <v>0.66700000000000004</v>
      </c>
    </row>
    <row r="70" spans="1:13">
      <c r="A70" t="s">
        <v>324</v>
      </c>
      <c r="B70" s="1" t="s">
        <v>29</v>
      </c>
      <c r="C70" t="s">
        <v>325</v>
      </c>
      <c r="D70" t="s">
        <v>326</v>
      </c>
      <c r="E70" t="s">
        <v>860</v>
      </c>
      <c r="F70" t="s">
        <v>417</v>
      </c>
      <c r="G70">
        <v>0.1</v>
      </c>
      <c r="H70">
        <v>1</v>
      </c>
      <c r="I70">
        <f t="shared" si="2"/>
        <v>0.18181818181818182</v>
      </c>
      <c r="J70">
        <v>0.71399999999999997</v>
      </c>
      <c r="K70">
        <v>0.66700000000000004</v>
      </c>
      <c r="L70">
        <v>402</v>
      </c>
      <c r="M70">
        <f t="shared" si="3"/>
        <v>0.69</v>
      </c>
    </row>
    <row r="71" spans="1:13">
      <c r="A71" t="s">
        <v>328</v>
      </c>
      <c r="B71" s="1" t="s">
        <v>47</v>
      </c>
      <c r="C71" t="s">
        <v>148</v>
      </c>
      <c r="D71" t="s">
        <v>329</v>
      </c>
      <c r="E71" t="s">
        <v>861</v>
      </c>
      <c r="F71" t="s">
        <v>777</v>
      </c>
      <c r="G71">
        <v>0.1</v>
      </c>
      <c r="H71">
        <v>1</v>
      </c>
      <c r="I71">
        <f t="shared" si="2"/>
        <v>0.18181818181818182</v>
      </c>
      <c r="J71">
        <v>8.3000000000000004E-2</v>
      </c>
      <c r="K71">
        <v>1</v>
      </c>
      <c r="L71">
        <v>394</v>
      </c>
      <c r="M71">
        <f t="shared" si="3"/>
        <v>0.153</v>
      </c>
    </row>
    <row r="72" spans="1:13">
      <c r="A72" t="s">
        <v>40</v>
      </c>
      <c r="B72" s="1" t="s">
        <v>70</v>
      </c>
      <c r="C72" t="s">
        <v>273</v>
      </c>
      <c r="D72" t="s">
        <v>772</v>
      </c>
      <c r="E72" t="s">
        <v>862</v>
      </c>
      <c r="F72" t="s">
        <v>774</v>
      </c>
      <c r="G72">
        <v>0.1</v>
      </c>
      <c r="H72">
        <v>1</v>
      </c>
      <c r="I72">
        <f t="shared" si="2"/>
        <v>0.18181818181818182</v>
      </c>
      <c r="J72">
        <v>0.25</v>
      </c>
      <c r="K72">
        <v>1</v>
      </c>
      <c r="L72">
        <v>403</v>
      </c>
      <c r="M72">
        <f t="shared" si="3"/>
        <v>0.4</v>
      </c>
    </row>
    <row r="73" spans="1:13">
      <c r="A73" t="s">
        <v>331</v>
      </c>
      <c r="B73" s="1" t="s">
        <v>70</v>
      </c>
      <c r="C73" t="s">
        <v>332</v>
      </c>
      <c r="D73" t="s">
        <v>333</v>
      </c>
      <c r="E73" t="s">
        <v>863</v>
      </c>
      <c r="F73" t="s">
        <v>797</v>
      </c>
      <c r="G73">
        <v>0.1</v>
      </c>
      <c r="H73">
        <v>1</v>
      </c>
      <c r="I73">
        <f t="shared" si="2"/>
        <v>0.18181818181818182</v>
      </c>
      <c r="J73">
        <v>0.2</v>
      </c>
      <c r="K73">
        <v>1</v>
      </c>
      <c r="L73">
        <v>405</v>
      </c>
      <c r="M73">
        <f t="shared" si="3"/>
        <v>0.33300000000000002</v>
      </c>
    </row>
    <row r="74" spans="1:13">
      <c r="A74" t="s">
        <v>335</v>
      </c>
      <c r="B74" s="1" t="s">
        <v>41</v>
      </c>
      <c r="C74" t="s">
        <v>336</v>
      </c>
      <c r="D74" t="s">
        <v>337</v>
      </c>
      <c r="E74" t="s">
        <v>864</v>
      </c>
      <c r="F74" t="s">
        <v>533</v>
      </c>
      <c r="G74">
        <v>0.1</v>
      </c>
      <c r="H74">
        <v>1</v>
      </c>
      <c r="I74">
        <f t="shared" si="2"/>
        <v>0.18181818181818182</v>
      </c>
      <c r="J74">
        <v>0.66700000000000004</v>
      </c>
      <c r="K74">
        <v>0.66700000000000004</v>
      </c>
      <c r="L74">
        <v>403</v>
      </c>
      <c r="M74">
        <f t="shared" si="3"/>
        <v>0.66700000000000004</v>
      </c>
    </row>
    <row r="75" spans="1:13">
      <c r="A75" t="s">
        <v>339</v>
      </c>
      <c r="B75" s="1" t="s">
        <v>340</v>
      </c>
      <c r="C75" t="s">
        <v>341</v>
      </c>
      <c r="D75" t="s">
        <v>865</v>
      </c>
      <c r="E75" t="s">
        <v>866</v>
      </c>
      <c r="F75" t="s">
        <v>847</v>
      </c>
      <c r="G75">
        <v>0.15</v>
      </c>
      <c r="H75">
        <v>1</v>
      </c>
      <c r="I75">
        <f t="shared" si="2"/>
        <v>0.2608695652173913</v>
      </c>
      <c r="J75">
        <v>1</v>
      </c>
      <c r="K75">
        <v>0.6</v>
      </c>
      <c r="L75">
        <v>404</v>
      </c>
      <c r="M75">
        <f t="shared" si="3"/>
        <v>0.75</v>
      </c>
    </row>
    <row r="76" spans="1:13">
      <c r="A76" t="s">
        <v>344</v>
      </c>
      <c r="B76" s="1" t="s">
        <v>299</v>
      </c>
      <c r="C76" t="s">
        <v>345</v>
      </c>
      <c r="D76" t="s">
        <v>346</v>
      </c>
      <c r="E76" t="s">
        <v>867</v>
      </c>
      <c r="F76" t="s">
        <v>788</v>
      </c>
      <c r="G76">
        <v>0.15</v>
      </c>
      <c r="H76">
        <v>1</v>
      </c>
      <c r="I76">
        <f t="shared" si="2"/>
        <v>0.2608695652173913</v>
      </c>
      <c r="J76">
        <v>0</v>
      </c>
      <c r="K76">
        <v>0</v>
      </c>
      <c r="L76">
        <v>415</v>
      </c>
      <c r="M76">
        <f t="shared" si="3"/>
        <v>0</v>
      </c>
    </row>
    <row r="77" spans="1:13">
      <c r="A77" t="s">
        <v>348</v>
      </c>
      <c r="B77" s="1" t="s">
        <v>315</v>
      </c>
      <c r="C77" t="s">
        <v>349</v>
      </c>
      <c r="D77" t="s">
        <v>868</v>
      </c>
      <c r="E77" t="s">
        <v>869</v>
      </c>
      <c r="F77" t="s">
        <v>707</v>
      </c>
      <c r="G77">
        <v>0.05</v>
      </c>
      <c r="H77">
        <v>1</v>
      </c>
      <c r="I77">
        <f t="shared" si="2"/>
        <v>9.5238095238095233E-2</v>
      </c>
      <c r="J77">
        <v>0.33300000000000002</v>
      </c>
      <c r="K77">
        <v>0.66700000000000004</v>
      </c>
      <c r="L77">
        <v>350</v>
      </c>
      <c r="M77">
        <f t="shared" si="3"/>
        <v>0.44400000000000001</v>
      </c>
    </row>
    <row r="78" spans="1:13">
      <c r="A78" t="s">
        <v>353</v>
      </c>
      <c r="B78" s="1" t="s">
        <v>354</v>
      </c>
      <c r="C78" t="s">
        <v>355</v>
      </c>
      <c r="D78" t="s">
        <v>172</v>
      </c>
      <c r="E78" t="s">
        <v>870</v>
      </c>
      <c r="F78" t="s">
        <v>417</v>
      </c>
      <c r="G78">
        <v>0.15</v>
      </c>
      <c r="H78">
        <v>1</v>
      </c>
      <c r="I78">
        <f t="shared" si="2"/>
        <v>0.2608695652173913</v>
      </c>
      <c r="J78">
        <v>0.375</v>
      </c>
      <c r="K78">
        <v>1</v>
      </c>
      <c r="L78">
        <v>351</v>
      </c>
      <c r="M78">
        <f t="shared" si="3"/>
        <v>0.54500000000000004</v>
      </c>
    </row>
    <row r="79" spans="1:13">
      <c r="A79" t="s">
        <v>357</v>
      </c>
      <c r="B79" s="1" t="s">
        <v>29</v>
      </c>
      <c r="C79" t="s">
        <v>358</v>
      </c>
      <c r="D79" t="s">
        <v>31</v>
      </c>
      <c r="E79" t="s">
        <v>871</v>
      </c>
      <c r="F79" t="s">
        <v>417</v>
      </c>
      <c r="G79">
        <v>0.1</v>
      </c>
      <c r="H79">
        <v>1</v>
      </c>
      <c r="I79">
        <f t="shared" si="2"/>
        <v>0.18181818181818182</v>
      </c>
      <c r="J79">
        <v>0.5</v>
      </c>
      <c r="K79">
        <v>0.5</v>
      </c>
      <c r="L79">
        <v>397</v>
      </c>
      <c r="M79">
        <f t="shared" si="3"/>
        <v>0.5</v>
      </c>
    </row>
    <row r="80" spans="1:13">
      <c r="A80" t="s">
        <v>359</v>
      </c>
      <c r="B80" s="1" t="s">
        <v>360</v>
      </c>
      <c r="C80" t="s">
        <v>361</v>
      </c>
      <c r="D80" t="s">
        <v>362</v>
      </c>
      <c r="E80" t="s">
        <v>872</v>
      </c>
      <c r="F80" t="s">
        <v>417</v>
      </c>
      <c r="G80">
        <v>0.1</v>
      </c>
      <c r="H80">
        <v>1</v>
      </c>
      <c r="I80">
        <f t="shared" si="2"/>
        <v>0.18181818181818182</v>
      </c>
      <c r="J80">
        <v>0.4</v>
      </c>
      <c r="K80">
        <v>0.5</v>
      </c>
      <c r="L80">
        <v>405</v>
      </c>
      <c r="M80">
        <f t="shared" si="3"/>
        <v>0.44400000000000001</v>
      </c>
    </row>
    <row r="81" spans="1:13">
      <c r="A81" s="6" t="s">
        <v>364</v>
      </c>
      <c r="B81" s="1" t="s">
        <v>365</v>
      </c>
      <c r="C81" t="s">
        <v>355</v>
      </c>
      <c r="D81" t="s">
        <v>873</v>
      </c>
      <c r="E81" t="s">
        <v>874</v>
      </c>
      <c r="F81" t="s">
        <v>417</v>
      </c>
      <c r="G81">
        <v>0.1</v>
      </c>
      <c r="H81">
        <v>1</v>
      </c>
      <c r="I81">
        <f t="shared" si="2"/>
        <v>0.18181818181818182</v>
      </c>
      <c r="J81">
        <v>0.28599999999999998</v>
      </c>
      <c r="K81">
        <v>1</v>
      </c>
      <c r="L81">
        <v>399</v>
      </c>
      <c r="M81">
        <f t="shared" si="3"/>
        <v>0.44500000000000001</v>
      </c>
    </row>
    <row r="82" spans="1:13">
      <c r="A82" t="s">
        <v>368</v>
      </c>
      <c r="B82" s="1" t="s">
        <v>369</v>
      </c>
      <c r="C82" t="s">
        <v>370</v>
      </c>
      <c r="D82" t="s">
        <v>371</v>
      </c>
      <c r="E82" t="s">
        <v>875</v>
      </c>
      <c r="F82" t="s">
        <v>417</v>
      </c>
      <c r="G82">
        <v>0.1</v>
      </c>
      <c r="H82">
        <v>1</v>
      </c>
      <c r="I82">
        <f t="shared" si="2"/>
        <v>0.18181818181818182</v>
      </c>
      <c r="J82">
        <v>0.5</v>
      </c>
      <c r="K82">
        <v>0.75</v>
      </c>
      <c r="L82">
        <v>405</v>
      </c>
      <c r="M82">
        <f t="shared" si="3"/>
        <v>0.6</v>
      </c>
    </row>
    <row r="83" spans="1:13">
      <c r="A83" t="s">
        <v>373</v>
      </c>
      <c r="B83" s="1" t="s">
        <v>374</v>
      </c>
      <c r="C83" t="s">
        <v>375</v>
      </c>
      <c r="D83" t="s">
        <v>376</v>
      </c>
      <c r="E83" t="s">
        <v>876</v>
      </c>
      <c r="F83" t="s">
        <v>774</v>
      </c>
      <c r="G83">
        <v>0.15</v>
      </c>
      <c r="H83">
        <v>1</v>
      </c>
      <c r="I83">
        <f t="shared" si="2"/>
        <v>0.2608695652173913</v>
      </c>
      <c r="J83">
        <v>0.27300000000000002</v>
      </c>
      <c r="K83">
        <v>1</v>
      </c>
      <c r="L83">
        <v>411</v>
      </c>
      <c r="M83">
        <f t="shared" si="3"/>
        <v>0.42899999999999999</v>
      </c>
    </row>
    <row r="84" spans="1:13">
      <c r="A84" t="s">
        <v>378</v>
      </c>
      <c r="B84" s="1" t="s">
        <v>230</v>
      </c>
      <c r="C84" t="s">
        <v>379</v>
      </c>
      <c r="D84" t="s">
        <v>380</v>
      </c>
      <c r="E84" t="s">
        <v>877</v>
      </c>
      <c r="F84" t="s">
        <v>788</v>
      </c>
      <c r="G84">
        <v>0.1</v>
      </c>
      <c r="H84">
        <v>1</v>
      </c>
      <c r="I84">
        <f t="shared" si="2"/>
        <v>0.18181818181818182</v>
      </c>
      <c r="J84">
        <v>0.4</v>
      </c>
      <c r="K84">
        <v>0.5</v>
      </c>
      <c r="L84">
        <v>405</v>
      </c>
      <c r="M84">
        <f t="shared" si="3"/>
        <v>0.44400000000000001</v>
      </c>
    </row>
    <row r="85" spans="1:13">
      <c r="A85" t="s">
        <v>382</v>
      </c>
      <c r="B85" s="1" t="s">
        <v>41</v>
      </c>
      <c r="C85" t="s">
        <v>383</v>
      </c>
      <c r="D85" t="s">
        <v>878</v>
      </c>
      <c r="E85" t="s">
        <v>385</v>
      </c>
      <c r="G85">
        <v>0.1</v>
      </c>
      <c r="H85">
        <v>1</v>
      </c>
      <c r="I85">
        <f t="shared" si="2"/>
        <v>0.18181818181818182</v>
      </c>
      <c r="J85">
        <v>0</v>
      </c>
      <c r="K85">
        <v>0</v>
      </c>
      <c r="L85">
        <v>405</v>
      </c>
      <c r="M85">
        <f t="shared" si="3"/>
        <v>0</v>
      </c>
    </row>
    <row r="86" spans="1:13">
      <c r="A86" t="s">
        <v>386</v>
      </c>
      <c r="B86" s="1" t="s">
        <v>70</v>
      </c>
      <c r="C86" t="s">
        <v>387</v>
      </c>
      <c r="D86" t="s">
        <v>879</v>
      </c>
      <c r="E86" t="s">
        <v>880</v>
      </c>
      <c r="F86" t="s">
        <v>788</v>
      </c>
      <c r="G86">
        <v>0.1</v>
      </c>
      <c r="H86">
        <v>1</v>
      </c>
      <c r="I86">
        <f t="shared" si="2"/>
        <v>0.18181818181818182</v>
      </c>
      <c r="J86">
        <v>0.5</v>
      </c>
      <c r="K86">
        <v>0.6</v>
      </c>
      <c r="L86">
        <v>360</v>
      </c>
      <c r="M86">
        <f t="shared" si="3"/>
        <v>0.54500000000000004</v>
      </c>
    </row>
    <row r="87" spans="1:13">
      <c r="A87" t="s">
        <v>390</v>
      </c>
      <c r="B87" s="1" t="s">
        <v>41</v>
      </c>
      <c r="C87" t="s">
        <v>391</v>
      </c>
      <c r="D87" t="s">
        <v>392</v>
      </c>
      <c r="E87" t="s">
        <v>347</v>
      </c>
      <c r="F87" t="s">
        <v>788</v>
      </c>
      <c r="G87">
        <v>0.1</v>
      </c>
      <c r="H87">
        <v>1</v>
      </c>
      <c r="I87">
        <f t="shared" si="2"/>
        <v>0.18181818181818182</v>
      </c>
      <c r="J87">
        <v>1</v>
      </c>
      <c r="K87">
        <v>0.25</v>
      </c>
      <c r="L87">
        <v>399</v>
      </c>
      <c r="M87">
        <f t="shared" si="3"/>
        <v>0.4</v>
      </c>
    </row>
    <row r="88" spans="1:13">
      <c r="A88" t="s">
        <v>394</v>
      </c>
      <c r="B88" s="1" t="s">
        <v>395</v>
      </c>
      <c r="C88" t="s">
        <v>396</v>
      </c>
      <c r="D88" t="s">
        <v>397</v>
      </c>
      <c r="E88" t="s">
        <v>881</v>
      </c>
      <c r="F88" t="s">
        <v>797</v>
      </c>
      <c r="G88">
        <v>0.15</v>
      </c>
      <c r="H88">
        <v>1</v>
      </c>
      <c r="I88">
        <f t="shared" si="2"/>
        <v>0.2608695652173913</v>
      </c>
      <c r="J88">
        <v>0.6</v>
      </c>
      <c r="K88">
        <v>1</v>
      </c>
      <c r="L88">
        <v>404</v>
      </c>
      <c r="M88">
        <f t="shared" si="3"/>
        <v>0.75</v>
      </c>
    </row>
    <row r="89" spans="1:13">
      <c r="A89" t="s">
        <v>399</v>
      </c>
      <c r="B89" s="1" t="s">
        <v>59</v>
      </c>
      <c r="C89" t="s">
        <v>400</v>
      </c>
      <c r="D89" t="s">
        <v>401</v>
      </c>
      <c r="E89" t="s">
        <v>882</v>
      </c>
      <c r="F89" t="s">
        <v>883</v>
      </c>
      <c r="G89">
        <v>0.05</v>
      </c>
      <c r="H89">
        <v>1</v>
      </c>
      <c r="I89">
        <f t="shared" si="2"/>
        <v>9.5238095238095233E-2</v>
      </c>
      <c r="J89">
        <v>0.28599999999999998</v>
      </c>
      <c r="K89">
        <v>1</v>
      </c>
      <c r="L89">
        <v>403</v>
      </c>
      <c r="M89">
        <f t="shared" si="3"/>
        <v>0.44500000000000001</v>
      </c>
    </row>
    <row r="90" spans="1:13">
      <c r="A90" t="s">
        <v>335</v>
      </c>
      <c r="B90" s="1" t="s">
        <v>41</v>
      </c>
      <c r="C90" t="s">
        <v>336</v>
      </c>
      <c r="D90" t="s">
        <v>337</v>
      </c>
      <c r="E90" t="s">
        <v>864</v>
      </c>
      <c r="F90" t="s">
        <v>533</v>
      </c>
      <c r="G90">
        <v>0.1</v>
      </c>
      <c r="H90">
        <v>1</v>
      </c>
      <c r="I90">
        <f t="shared" si="2"/>
        <v>0.18181818181818182</v>
      </c>
      <c r="J90">
        <v>0.66700000000000004</v>
      </c>
      <c r="K90">
        <v>0.66700000000000004</v>
      </c>
      <c r="L90">
        <v>403</v>
      </c>
      <c r="M90">
        <f t="shared" si="3"/>
        <v>0.66700000000000004</v>
      </c>
    </row>
    <row r="91" spans="1:13">
      <c r="A91" t="s">
        <v>403</v>
      </c>
      <c r="B91" s="1" t="s">
        <v>230</v>
      </c>
      <c r="C91" t="s">
        <v>404</v>
      </c>
      <c r="D91" t="s">
        <v>405</v>
      </c>
      <c r="E91" t="s">
        <v>884</v>
      </c>
      <c r="F91" t="s">
        <v>621</v>
      </c>
      <c r="G91">
        <v>0.05</v>
      </c>
      <c r="H91">
        <v>0.5</v>
      </c>
      <c r="I91">
        <f t="shared" si="2"/>
        <v>9.0909090909090912E-2</v>
      </c>
      <c r="J91">
        <v>0.66700000000000004</v>
      </c>
      <c r="K91">
        <v>0.4</v>
      </c>
      <c r="L91">
        <v>398</v>
      </c>
      <c r="M91">
        <f t="shared" si="3"/>
        <v>0.5</v>
      </c>
    </row>
    <row r="92" spans="1:13">
      <c r="A92" t="s">
        <v>407</v>
      </c>
      <c r="B92" s="1" t="s">
        <v>35</v>
      </c>
      <c r="C92" t="s">
        <v>408</v>
      </c>
      <c r="D92" t="s">
        <v>770</v>
      </c>
      <c r="E92" t="s">
        <v>885</v>
      </c>
      <c r="F92" t="s">
        <v>39</v>
      </c>
      <c r="G92">
        <v>0.05</v>
      </c>
      <c r="H92">
        <v>1</v>
      </c>
      <c r="I92">
        <f t="shared" si="2"/>
        <v>9.5238095238095233E-2</v>
      </c>
      <c r="J92">
        <v>0.4</v>
      </c>
      <c r="K92">
        <v>0.66700000000000004</v>
      </c>
      <c r="L92">
        <v>399</v>
      </c>
      <c r="M92">
        <f t="shared" si="3"/>
        <v>0.5</v>
      </c>
    </row>
    <row r="93" spans="1:13">
      <c r="A93" t="s">
        <v>410</v>
      </c>
      <c r="B93" s="1" t="s">
        <v>59</v>
      </c>
      <c r="C93" t="s">
        <v>400</v>
      </c>
      <c r="D93" t="s">
        <v>886</v>
      </c>
      <c r="E93" t="s">
        <v>887</v>
      </c>
      <c r="F93" t="s">
        <v>122</v>
      </c>
      <c r="G93">
        <v>0.05</v>
      </c>
      <c r="H93">
        <v>1</v>
      </c>
      <c r="I93">
        <f t="shared" si="2"/>
        <v>9.5238095238095233E-2</v>
      </c>
      <c r="J93">
        <v>0.14299999999999999</v>
      </c>
      <c r="K93">
        <v>1</v>
      </c>
      <c r="L93">
        <v>428</v>
      </c>
      <c r="M93">
        <f t="shared" si="3"/>
        <v>0.25</v>
      </c>
    </row>
    <row r="94" spans="1:13">
      <c r="A94" t="s">
        <v>413</v>
      </c>
      <c r="B94" s="1" t="s">
        <v>88</v>
      </c>
      <c r="C94" t="s">
        <v>278</v>
      </c>
      <c r="D94" t="s">
        <v>888</v>
      </c>
      <c r="E94" t="s">
        <v>278</v>
      </c>
      <c r="F94" t="s">
        <v>27</v>
      </c>
      <c r="G94">
        <v>0.05</v>
      </c>
      <c r="H94">
        <v>1</v>
      </c>
      <c r="I94">
        <f t="shared" si="2"/>
        <v>9.5238095238095233E-2</v>
      </c>
      <c r="J94">
        <v>1</v>
      </c>
      <c r="K94">
        <v>1</v>
      </c>
      <c r="L94">
        <v>391</v>
      </c>
      <c r="M94">
        <f t="shared" si="3"/>
        <v>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F9CC4-1624-4C64-A61E-4578AA6E4283}">
  <dimension ref="A1:P94"/>
  <sheetViews>
    <sheetView workbookViewId="0">
      <selection activeCell="F13" sqref="F13"/>
    </sheetView>
  </sheetViews>
  <sheetFormatPr defaultRowHeight="18"/>
  <sheetData>
    <row r="1" spans="1:16">
      <c r="A1" t="s">
        <v>9</v>
      </c>
      <c r="B1" t="s">
        <v>10</v>
      </c>
      <c r="C1" t="s">
        <v>11</v>
      </c>
      <c r="D1" t="s">
        <v>12</v>
      </c>
      <c r="E1" t="s">
        <v>13</v>
      </c>
      <c r="F1" t="s">
        <v>14</v>
      </c>
      <c r="G1" t="s">
        <v>15</v>
      </c>
      <c r="H1" t="s">
        <v>16</v>
      </c>
      <c r="I1" t="s">
        <v>17</v>
      </c>
      <c r="J1" t="s">
        <v>18</v>
      </c>
      <c r="K1" t="s">
        <v>19</v>
      </c>
      <c r="L1" t="s">
        <v>20</v>
      </c>
      <c r="M1" t="s">
        <v>21</v>
      </c>
      <c r="N1" t="s">
        <v>1</v>
      </c>
      <c r="O1" t="s">
        <v>2</v>
      </c>
      <c r="P1" s="3" t="s">
        <v>3</v>
      </c>
    </row>
    <row r="2" spans="1:16">
      <c r="A2" t="s">
        <v>22</v>
      </c>
      <c r="B2" s="1" t="s">
        <v>23</v>
      </c>
      <c r="C2" t="s">
        <v>24</v>
      </c>
      <c r="D2" t="s">
        <v>415</v>
      </c>
      <c r="E2" t="s">
        <v>889</v>
      </c>
      <c r="F2" t="s">
        <v>590</v>
      </c>
      <c r="G2">
        <v>0.13300000000000001</v>
      </c>
      <c r="H2">
        <v>1</v>
      </c>
      <c r="I2">
        <f t="shared" ref="I2:I65" si="0">IF(G2+H2=0,0,2*G2*H2/(G2+H2))</f>
        <v>0.23477493380406003</v>
      </c>
      <c r="J2">
        <v>0.5</v>
      </c>
      <c r="K2">
        <v>0.33300000000000002</v>
      </c>
      <c r="L2">
        <v>319</v>
      </c>
      <c r="M2">
        <f t="shared" ref="M2:M65" si="1">IF(J2+K2=0,0,ROUND(2*J2*K2/(J2+K2),3))</f>
        <v>0.4</v>
      </c>
      <c r="N2" s="3">
        <f>ROUND(AVERAGE(J2:J94),3)</f>
        <v>0.53900000000000003</v>
      </c>
      <c r="O2" s="3">
        <f>ROUND(AVERAGE(K2:K94),3)</f>
        <v>0.63100000000000001</v>
      </c>
      <c r="P2" s="3">
        <f>SUM(M2:M94)/93</f>
        <v>0.54031182795698929</v>
      </c>
    </row>
    <row r="3" spans="1:16">
      <c r="A3" t="s">
        <v>28</v>
      </c>
      <c r="B3" s="1" t="s">
        <v>29</v>
      </c>
      <c r="C3" t="s">
        <v>30</v>
      </c>
      <c r="D3" t="s">
        <v>416</v>
      </c>
      <c r="E3" t="s">
        <v>890</v>
      </c>
      <c r="F3" t="s">
        <v>891</v>
      </c>
      <c r="G3">
        <v>0.16700000000000001</v>
      </c>
      <c r="H3">
        <v>1</v>
      </c>
      <c r="I3">
        <f t="shared" si="0"/>
        <v>0.28620394173093405</v>
      </c>
      <c r="J3">
        <v>0.8</v>
      </c>
      <c r="K3">
        <v>0.8</v>
      </c>
      <c r="L3">
        <v>303</v>
      </c>
      <c r="M3">
        <f t="shared" si="1"/>
        <v>0.8</v>
      </c>
      <c r="P3" s="3"/>
    </row>
    <row r="4" spans="1:16">
      <c r="A4" t="s">
        <v>34</v>
      </c>
      <c r="B4" s="1" t="s">
        <v>35</v>
      </c>
      <c r="C4" t="s">
        <v>36</v>
      </c>
      <c r="D4" t="s">
        <v>418</v>
      </c>
      <c r="E4" t="s">
        <v>703</v>
      </c>
      <c r="F4" t="s">
        <v>582</v>
      </c>
      <c r="G4">
        <v>0.125</v>
      </c>
      <c r="H4">
        <v>1</v>
      </c>
      <c r="I4">
        <f t="shared" si="0"/>
        <v>0.22222222222222221</v>
      </c>
      <c r="J4">
        <v>0.5</v>
      </c>
      <c r="K4">
        <v>0.66700000000000004</v>
      </c>
      <c r="L4">
        <v>235</v>
      </c>
      <c r="M4">
        <f t="shared" si="1"/>
        <v>0.57199999999999995</v>
      </c>
    </row>
    <row r="5" spans="1:16">
      <c r="A5" t="s">
        <v>40</v>
      </c>
      <c r="B5" s="1" t="s">
        <v>41</v>
      </c>
      <c r="C5" t="s">
        <v>42</v>
      </c>
      <c r="D5" t="s">
        <v>420</v>
      </c>
      <c r="E5" t="s">
        <v>892</v>
      </c>
      <c r="F5" t="s">
        <v>45</v>
      </c>
      <c r="G5">
        <v>0.33300000000000002</v>
      </c>
      <c r="H5">
        <v>1</v>
      </c>
      <c r="I5">
        <f t="shared" si="0"/>
        <v>0.4996249062265567</v>
      </c>
      <c r="J5">
        <v>0.5</v>
      </c>
      <c r="K5">
        <v>1</v>
      </c>
      <c r="L5">
        <v>318</v>
      </c>
      <c r="M5">
        <f t="shared" si="1"/>
        <v>0.66700000000000004</v>
      </c>
      <c r="N5" s="3">
        <f>ROUND(AVERAGE(G2:G94),3)</f>
        <v>0.20699999999999999</v>
      </c>
      <c r="O5" s="3">
        <f>ROUND(AVERAGE(H2:H94),3)</f>
        <v>0.83899999999999997</v>
      </c>
      <c r="P5" s="3">
        <f>ROUND(AVERAGE(I2:I94),3)</f>
        <v>0.29099999999999998</v>
      </c>
    </row>
    <row r="6" spans="1:16">
      <c r="A6" t="s">
        <v>46</v>
      </c>
      <c r="B6" s="1" t="s">
        <v>47</v>
      </c>
      <c r="C6" t="s">
        <v>48</v>
      </c>
      <c r="D6" t="s">
        <v>422</v>
      </c>
      <c r="E6" t="s">
        <v>893</v>
      </c>
      <c r="F6" t="s">
        <v>51</v>
      </c>
      <c r="G6">
        <v>0.154</v>
      </c>
      <c r="H6">
        <v>1</v>
      </c>
      <c r="I6">
        <f t="shared" si="0"/>
        <v>0.26689774696707108</v>
      </c>
      <c r="J6">
        <v>0.25</v>
      </c>
      <c r="K6">
        <v>0.25</v>
      </c>
      <c r="L6">
        <v>296</v>
      </c>
      <c r="M6">
        <f t="shared" si="1"/>
        <v>0.25</v>
      </c>
      <c r="O6" t="s">
        <v>52</v>
      </c>
    </row>
    <row r="7" spans="1:16">
      <c r="A7" t="s">
        <v>53</v>
      </c>
      <c r="B7" s="1" t="s">
        <v>54</v>
      </c>
      <c r="C7" t="s">
        <v>55</v>
      </c>
      <c r="D7" t="s">
        <v>425</v>
      </c>
      <c r="E7" t="s">
        <v>894</v>
      </c>
      <c r="F7" t="s">
        <v>582</v>
      </c>
      <c r="G7">
        <v>0.14299999999999999</v>
      </c>
      <c r="H7">
        <v>1</v>
      </c>
      <c r="I7">
        <f t="shared" si="0"/>
        <v>0.25021872265966749</v>
      </c>
      <c r="J7">
        <v>0.6</v>
      </c>
      <c r="K7">
        <v>0.6</v>
      </c>
      <c r="L7">
        <v>316</v>
      </c>
      <c r="M7">
        <f t="shared" si="1"/>
        <v>0.6</v>
      </c>
      <c r="O7" s="4">
        <f>AVERAGE(L2:L94)</f>
        <v>281.58064516129031</v>
      </c>
    </row>
    <row r="8" spans="1:16">
      <c r="A8" t="s">
        <v>58</v>
      </c>
      <c r="B8" s="1" t="s">
        <v>59</v>
      </c>
      <c r="C8" t="s">
        <v>60</v>
      </c>
      <c r="D8" t="s">
        <v>427</v>
      </c>
      <c r="E8" t="s">
        <v>895</v>
      </c>
      <c r="F8" t="s">
        <v>896</v>
      </c>
      <c r="G8">
        <v>0.16700000000000001</v>
      </c>
      <c r="H8">
        <v>1</v>
      </c>
      <c r="I8">
        <f t="shared" si="0"/>
        <v>0.28620394173093405</v>
      </c>
      <c r="J8">
        <v>0.33300000000000002</v>
      </c>
      <c r="K8">
        <v>0.5</v>
      </c>
      <c r="L8">
        <v>225</v>
      </c>
      <c r="M8">
        <f t="shared" si="1"/>
        <v>0.4</v>
      </c>
      <c r="O8" t="s">
        <v>63</v>
      </c>
    </row>
    <row r="9" spans="1:16">
      <c r="A9" t="s">
        <v>64</v>
      </c>
      <c r="B9" s="1" t="s">
        <v>65</v>
      </c>
      <c r="C9" t="s">
        <v>66</v>
      </c>
      <c r="D9" t="s">
        <v>897</v>
      </c>
      <c r="E9" t="s">
        <v>898</v>
      </c>
      <c r="F9" t="s">
        <v>706</v>
      </c>
      <c r="G9">
        <v>0.42899999999999999</v>
      </c>
      <c r="H9">
        <v>1</v>
      </c>
      <c r="I9">
        <f t="shared" si="0"/>
        <v>0.60041987403778863</v>
      </c>
      <c r="J9">
        <v>0.25</v>
      </c>
      <c r="K9">
        <v>1</v>
      </c>
      <c r="L9">
        <v>240</v>
      </c>
      <c r="M9">
        <f t="shared" si="1"/>
        <v>0.4</v>
      </c>
      <c r="O9" s="3">
        <f>_xlfn.STDEV.P(L2:L94)</f>
        <v>74.881601539003782</v>
      </c>
    </row>
    <row r="10" spans="1:16">
      <c r="A10" t="s">
        <v>69</v>
      </c>
      <c r="B10" s="1" t="s">
        <v>70</v>
      </c>
      <c r="C10" t="s">
        <v>71</v>
      </c>
      <c r="D10" t="s">
        <v>899</v>
      </c>
      <c r="E10" t="s">
        <v>900</v>
      </c>
      <c r="F10" t="s">
        <v>705</v>
      </c>
      <c r="G10">
        <v>0.33300000000000002</v>
      </c>
      <c r="H10">
        <v>0.5</v>
      </c>
      <c r="I10">
        <f t="shared" si="0"/>
        <v>0.39975990396158467</v>
      </c>
      <c r="J10">
        <v>0.4</v>
      </c>
      <c r="K10">
        <v>1</v>
      </c>
      <c r="L10">
        <v>220</v>
      </c>
      <c r="M10">
        <f t="shared" si="1"/>
        <v>0.57099999999999995</v>
      </c>
    </row>
    <row r="11" spans="1:16">
      <c r="A11" t="s">
        <v>75</v>
      </c>
      <c r="B11" s="1" t="s">
        <v>76</v>
      </c>
      <c r="C11" t="s">
        <v>77</v>
      </c>
      <c r="D11" t="s">
        <v>315</v>
      </c>
      <c r="E11" t="s">
        <v>434</v>
      </c>
      <c r="F11" t="s">
        <v>27</v>
      </c>
      <c r="G11">
        <v>1</v>
      </c>
      <c r="H11">
        <v>0.5</v>
      </c>
      <c r="I11">
        <f t="shared" si="0"/>
        <v>0.66666666666666663</v>
      </c>
      <c r="J11">
        <v>1</v>
      </c>
      <c r="K11">
        <v>0.33300000000000002</v>
      </c>
      <c r="L11">
        <v>119</v>
      </c>
      <c r="M11">
        <f t="shared" si="1"/>
        <v>0.5</v>
      </c>
    </row>
    <row r="12" spans="1:16">
      <c r="A12" t="s">
        <v>81</v>
      </c>
      <c r="B12" s="1" t="s">
        <v>70</v>
      </c>
      <c r="C12" t="s">
        <v>71</v>
      </c>
      <c r="D12" t="s">
        <v>899</v>
      </c>
      <c r="E12" t="s">
        <v>901</v>
      </c>
      <c r="F12" t="s">
        <v>705</v>
      </c>
      <c r="G12">
        <v>0.33300000000000002</v>
      </c>
      <c r="H12">
        <v>0.5</v>
      </c>
      <c r="I12">
        <f t="shared" si="0"/>
        <v>0.39975990396158467</v>
      </c>
      <c r="J12">
        <v>0.4</v>
      </c>
      <c r="K12">
        <v>1</v>
      </c>
      <c r="L12">
        <v>223</v>
      </c>
      <c r="M12">
        <f t="shared" si="1"/>
        <v>0.57099999999999995</v>
      </c>
    </row>
    <row r="13" spans="1:16">
      <c r="A13" t="s">
        <v>83</v>
      </c>
      <c r="B13" s="1" t="s">
        <v>41</v>
      </c>
      <c r="C13" t="s">
        <v>84</v>
      </c>
      <c r="D13" t="s">
        <v>436</v>
      </c>
      <c r="E13" t="s">
        <v>902</v>
      </c>
      <c r="F13" t="s">
        <v>705</v>
      </c>
      <c r="G13">
        <v>0.28599999999999998</v>
      </c>
      <c r="H13">
        <v>1</v>
      </c>
      <c r="I13">
        <f t="shared" si="0"/>
        <v>0.44479004665629857</v>
      </c>
      <c r="J13">
        <v>0</v>
      </c>
      <c r="K13">
        <v>0</v>
      </c>
      <c r="L13">
        <v>261</v>
      </c>
      <c r="M13">
        <f t="shared" si="1"/>
        <v>0</v>
      </c>
    </row>
    <row r="14" spans="1:16">
      <c r="A14" t="s">
        <v>87</v>
      </c>
      <c r="B14" s="1" t="s">
        <v>88</v>
      </c>
      <c r="C14" t="s">
        <v>89</v>
      </c>
      <c r="D14" t="s">
        <v>439</v>
      </c>
      <c r="E14" t="s">
        <v>903</v>
      </c>
      <c r="F14" t="s">
        <v>705</v>
      </c>
      <c r="G14">
        <v>0</v>
      </c>
      <c r="H14">
        <v>0</v>
      </c>
      <c r="I14">
        <f t="shared" si="0"/>
        <v>0</v>
      </c>
      <c r="J14">
        <v>1</v>
      </c>
      <c r="K14">
        <v>0.8</v>
      </c>
      <c r="L14">
        <v>157</v>
      </c>
      <c r="M14">
        <f t="shared" si="1"/>
        <v>0.88900000000000001</v>
      </c>
    </row>
    <row r="15" spans="1:16">
      <c r="A15" t="s">
        <v>92</v>
      </c>
      <c r="B15" s="1" t="s">
        <v>93</v>
      </c>
      <c r="C15" t="s">
        <v>30</v>
      </c>
      <c r="D15" t="s">
        <v>416</v>
      </c>
      <c r="E15" t="s">
        <v>904</v>
      </c>
      <c r="F15" t="s">
        <v>891</v>
      </c>
      <c r="G15">
        <v>0.16700000000000001</v>
      </c>
      <c r="H15">
        <v>1</v>
      </c>
      <c r="I15">
        <f t="shared" si="0"/>
        <v>0.28620394173093405</v>
      </c>
      <c r="J15">
        <v>0.6</v>
      </c>
      <c r="K15">
        <v>0.6</v>
      </c>
      <c r="L15">
        <v>304</v>
      </c>
      <c r="M15">
        <f t="shared" si="1"/>
        <v>0.6</v>
      </c>
    </row>
    <row r="16" spans="1:16">
      <c r="A16" t="s">
        <v>95</v>
      </c>
      <c r="B16" s="1" t="s">
        <v>96</v>
      </c>
      <c r="C16" t="s">
        <v>97</v>
      </c>
      <c r="D16" t="s">
        <v>443</v>
      </c>
      <c r="E16" t="s">
        <v>905</v>
      </c>
      <c r="F16" t="s">
        <v>891</v>
      </c>
      <c r="G16">
        <v>6.7000000000000004E-2</v>
      </c>
      <c r="H16">
        <v>1</v>
      </c>
      <c r="I16">
        <f t="shared" si="0"/>
        <v>0.12558575445173384</v>
      </c>
      <c r="J16">
        <v>0.6</v>
      </c>
      <c r="K16">
        <v>0.5</v>
      </c>
      <c r="L16">
        <v>393</v>
      </c>
      <c r="M16">
        <f t="shared" si="1"/>
        <v>0.54500000000000004</v>
      </c>
    </row>
    <row r="17" spans="1:13">
      <c r="A17" t="s">
        <v>100</v>
      </c>
      <c r="B17" s="1" t="s">
        <v>41</v>
      </c>
      <c r="C17" t="s">
        <v>101</v>
      </c>
      <c r="D17" t="s">
        <v>445</v>
      </c>
      <c r="E17" t="s">
        <v>906</v>
      </c>
      <c r="F17" t="s">
        <v>907</v>
      </c>
      <c r="G17">
        <v>9.0999999999999998E-2</v>
      </c>
      <c r="H17">
        <v>0.5</v>
      </c>
      <c r="I17">
        <f t="shared" si="0"/>
        <v>0.15397631133671744</v>
      </c>
      <c r="J17">
        <v>0.4</v>
      </c>
      <c r="K17">
        <v>0.28599999999999998</v>
      </c>
      <c r="L17">
        <v>345</v>
      </c>
      <c r="M17">
        <f t="shared" si="1"/>
        <v>0.33400000000000002</v>
      </c>
    </row>
    <row r="18" spans="1:13">
      <c r="A18" t="s">
        <v>104</v>
      </c>
      <c r="B18" s="1" t="s">
        <v>41</v>
      </c>
      <c r="C18" t="s">
        <v>105</v>
      </c>
      <c r="D18" t="s">
        <v>908</v>
      </c>
      <c r="E18" t="s">
        <v>909</v>
      </c>
      <c r="F18" t="s">
        <v>705</v>
      </c>
      <c r="G18">
        <v>0.11799999999999999</v>
      </c>
      <c r="H18">
        <v>1</v>
      </c>
      <c r="I18">
        <f t="shared" si="0"/>
        <v>0.21109123434704832</v>
      </c>
      <c r="J18">
        <v>0</v>
      </c>
      <c r="K18">
        <v>0</v>
      </c>
      <c r="L18">
        <v>353</v>
      </c>
      <c r="M18">
        <f t="shared" si="1"/>
        <v>0</v>
      </c>
    </row>
    <row r="19" spans="1:13">
      <c r="A19" t="s">
        <v>108</v>
      </c>
      <c r="B19" s="1" t="s">
        <v>109</v>
      </c>
      <c r="C19" t="s">
        <v>110</v>
      </c>
      <c r="D19" t="s">
        <v>449</v>
      </c>
      <c r="E19" t="s">
        <v>910</v>
      </c>
      <c r="F19" t="s">
        <v>891</v>
      </c>
      <c r="G19">
        <v>0.33300000000000002</v>
      </c>
      <c r="H19">
        <v>0.66700000000000004</v>
      </c>
      <c r="I19">
        <f t="shared" si="0"/>
        <v>0.44422200000000006</v>
      </c>
      <c r="J19">
        <v>0.6</v>
      </c>
      <c r="K19">
        <v>0.75</v>
      </c>
      <c r="L19">
        <v>174</v>
      </c>
      <c r="M19">
        <f t="shared" si="1"/>
        <v>0.66700000000000004</v>
      </c>
    </row>
    <row r="20" spans="1:13">
      <c r="A20" t="s">
        <v>113</v>
      </c>
      <c r="B20" s="1" t="s">
        <v>114</v>
      </c>
      <c r="C20" t="s">
        <v>60</v>
      </c>
      <c r="D20" t="s">
        <v>451</v>
      </c>
      <c r="E20" t="s">
        <v>911</v>
      </c>
      <c r="F20" t="s">
        <v>891</v>
      </c>
      <c r="G20">
        <v>0.16700000000000001</v>
      </c>
      <c r="H20">
        <v>0.5</v>
      </c>
      <c r="I20">
        <f t="shared" si="0"/>
        <v>0.25037481259370314</v>
      </c>
      <c r="J20">
        <v>0.111</v>
      </c>
      <c r="K20">
        <v>0.5</v>
      </c>
      <c r="L20">
        <v>261</v>
      </c>
      <c r="M20">
        <f t="shared" si="1"/>
        <v>0.182</v>
      </c>
    </row>
    <row r="21" spans="1:13">
      <c r="A21" t="s">
        <v>117</v>
      </c>
      <c r="B21" s="1" t="s">
        <v>118</v>
      </c>
      <c r="C21" t="s">
        <v>119</v>
      </c>
      <c r="D21" t="s">
        <v>453</v>
      </c>
      <c r="E21" t="s">
        <v>912</v>
      </c>
      <c r="F21" t="s">
        <v>429</v>
      </c>
      <c r="G21">
        <v>0.111</v>
      </c>
      <c r="H21">
        <v>1</v>
      </c>
      <c r="I21">
        <f t="shared" si="0"/>
        <v>0.19981998199819984</v>
      </c>
      <c r="J21">
        <v>1</v>
      </c>
      <c r="K21">
        <v>0.8</v>
      </c>
      <c r="L21">
        <v>298</v>
      </c>
      <c r="M21">
        <f t="shared" si="1"/>
        <v>0.88900000000000001</v>
      </c>
    </row>
    <row r="22" spans="1:13">
      <c r="A22" t="s">
        <v>123</v>
      </c>
      <c r="B22" s="1" t="s">
        <v>124</v>
      </c>
      <c r="C22" t="s">
        <v>125</v>
      </c>
      <c r="D22" t="s">
        <v>913</v>
      </c>
      <c r="E22" t="s">
        <v>914</v>
      </c>
      <c r="F22" t="s">
        <v>582</v>
      </c>
      <c r="G22">
        <v>0.25</v>
      </c>
      <c r="H22">
        <v>1</v>
      </c>
      <c r="I22">
        <f t="shared" si="0"/>
        <v>0.4</v>
      </c>
      <c r="J22">
        <v>0.8</v>
      </c>
      <c r="K22">
        <v>1</v>
      </c>
      <c r="L22">
        <v>319</v>
      </c>
      <c r="M22">
        <f t="shared" si="1"/>
        <v>0.88900000000000001</v>
      </c>
    </row>
    <row r="23" spans="1:13">
      <c r="A23" t="s">
        <v>128</v>
      </c>
      <c r="B23" s="1" t="s">
        <v>88</v>
      </c>
      <c r="C23" t="s">
        <v>129</v>
      </c>
      <c r="D23" t="s">
        <v>458</v>
      </c>
      <c r="E23" t="s">
        <v>915</v>
      </c>
      <c r="F23" t="s">
        <v>916</v>
      </c>
      <c r="G23">
        <v>6.2E-2</v>
      </c>
      <c r="H23">
        <v>1</v>
      </c>
      <c r="I23">
        <f t="shared" si="0"/>
        <v>0.1167608286252354</v>
      </c>
      <c r="J23">
        <v>0.33300000000000002</v>
      </c>
      <c r="K23">
        <v>0.5</v>
      </c>
      <c r="L23">
        <v>352</v>
      </c>
      <c r="M23">
        <f t="shared" si="1"/>
        <v>0.4</v>
      </c>
    </row>
    <row r="24" spans="1:13">
      <c r="A24" t="s">
        <v>131</v>
      </c>
      <c r="B24" s="1" t="s">
        <v>41</v>
      </c>
      <c r="C24" t="s">
        <v>132</v>
      </c>
      <c r="D24" t="s">
        <v>917</v>
      </c>
      <c r="E24" t="s">
        <v>918</v>
      </c>
      <c r="F24" t="s">
        <v>891</v>
      </c>
      <c r="G24">
        <v>0.25</v>
      </c>
      <c r="H24">
        <v>1</v>
      </c>
      <c r="I24">
        <f t="shared" si="0"/>
        <v>0.4</v>
      </c>
      <c r="J24">
        <v>0.33300000000000002</v>
      </c>
      <c r="K24">
        <v>0.5</v>
      </c>
      <c r="L24">
        <v>296</v>
      </c>
      <c r="M24">
        <f t="shared" si="1"/>
        <v>0.4</v>
      </c>
    </row>
    <row r="25" spans="1:13">
      <c r="A25" t="s">
        <v>135</v>
      </c>
      <c r="B25" s="1" t="s">
        <v>136</v>
      </c>
      <c r="C25" t="s">
        <v>137</v>
      </c>
      <c r="D25" t="s">
        <v>136</v>
      </c>
      <c r="E25" t="s">
        <v>919</v>
      </c>
      <c r="F25" t="s">
        <v>907</v>
      </c>
      <c r="G25">
        <v>1</v>
      </c>
      <c r="H25">
        <v>1</v>
      </c>
      <c r="I25">
        <f t="shared" si="0"/>
        <v>1</v>
      </c>
      <c r="J25">
        <v>0.5</v>
      </c>
      <c r="K25">
        <v>0.33300000000000002</v>
      </c>
      <c r="L25">
        <v>236</v>
      </c>
      <c r="M25">
        <f t="shared" si="1"/>
        <v>0.4</v>
      </c>
    </row>
    <row r="26" spans="1:13">
      <c r="A26" t="s">
        <v>140</v>
      </c>
      <c r="B26" s="1" t="s">
        <v>41</v>
      </c>
      <c r="C26" t="s">
        <v>71</v>
      </c>
      <c r="D26" t="s">
        <v>463</v>
      </c>
      <c r="E26" t="s">
        <v>920</v>
      </c>
      <c r="F26" t="s">
        <v>705</v>
      </c>
      <c r="G26">
        <v>0.33300000000000002</v>
      </c>
      <c r="H26">
        <v>1</v>
      </c>
      <c r="I26">
        <f t="shared" si="0"/>
        <v>0.4996249062265567</v>
      </c>
      <c r="J26">
        <v>0.5</v>
      </c>
      <c r="K26">
        <v>1</v>
      </c>
      <c r="L26">
        <v>268</v>
      </c>
      <c r="M26">
        <f t="shared" si="1"/>
        <v>0.66700000000000004</v>
      </c>
    </row>
    <row r="27" spans="1:13">
      <c r="A27" t="s">
        <v>142</v>
      </c>
      <c r="B27" s="1" t="s">
        <v>143</v>
      </c>
      <c r="C27" t="s">
        <v>144</v>
      </c>
      <c r="D27" t="s">
        <v>465</v>
      </c>
      <c r="E27" t="s">
        <v>921</v>
      </c>
      <c r="F27" t="s">
        <v>847</v>
      </c>
      <c r="G27">
        <v>9.0999999999999998E-2</v>
      </c>
      <c r="H27">
        <v>1</v>
      </c>
      <c r="I27">
        <f t="shared" si="0"/>
        <v>0.16681943171402383</v>
      </c>
      <c r="J27">
        <v>0.5</v>
      </c>
      <c r="K27">
        <v>0.75</v>
      </c>
      <c r="L27">
        <v>275</v>
      </c>
      <c r="M27">
        <f t="shared" si="1"/>
        <v>0.6</v>
      </c>
    </row>
    <row r="28" spans="1:13">
      <c r="A28" t="s">
        <v>147</v>
      </c>
      <c r="B28" s="1" t="s">
        <v>88</v>
      </c>
      <c r="C28" t="s">
        <v>148</v>
      </c>
      <c r="D28" t="s">
        <v>467</v>
      </c>
      <c r="E28" t="s">
        <v>922</v>
      </c>
      <c r="F28" t="s">
        <v>891</v>
      </c>
      <c r="G28">
        <v>0</v>
      </c>
      <c r="H28">
        <v>0</v>
      </c>
      <c r="I28">
        <f t="shared" si="0"/>
        <v>0</v>
      </c>
      <c r="J28">
        <v>0.4</v>
      </c>
      <c r="K28">
        <v>1</v>
      </c>
      <c r="L28">
        <v>234</v>
      </c>
      <c r="M28">
        <f t="shared" si="1"/>
        <v>0.57099999999999995</v>
      </c>
    </row>
    <row r="29" spans="1:13">
      <c r="A29" t="s">
        <v>151</v>
      </c>
      <c r="B29" s="1" t="s">
        <v>88</v>
      </c>
      <c r="C29" t="s">
        <v>152</v>
      </c>
      <c r="D29" t="s">
        <v>469</v>
      </c>
      <c r="E29" t="s">
        <v>923</v>
      </c>
      <c r="F29" t="s">
        <v>705</v>
      </c>
      <c r="G29">
        <v>9.0999999999999998E-2</v>
      </c>
      <c r="H29">
        <v>1</v>
      </c>
      <c r="I29">
        <f t="shared" si="0"/>
        <v>0.16681943171402383</v>
      </c>
      <c r="J29">
        <v>0.5</v>
      </c>
      <c r="K29">
        <v>0.66700000000000004</v>
      </c>
      <c r="L29">
        <v>297</v>
      </c>
      <c r="M29">
        <f t="shared" si="1"/>
        <v>0.57199999999999995</v>
      </c>
    </row>
    <row r="30" spans="1:13">
      <c r="A30" t="s">
        <v>155</v>
      </c>
      <c r="B30" s="1" t="s">
        <v>156</v>
      </c>
      <c r="C30" t="s">
        <v>157</v>
      </c>
      <c r="D30" t="s">
        <v>471</v>
      </c>
      <c r="E30" t="s">
        <v>924</v>
      </c>
      <c r="F30" t="s">
        <v>706</v>
      </c>
      <c r="G30">
        <v>0.23100000000000001</v>
      </c>
      <c r="H30">
        <v>1</v>
      </c>
      <c r="I30">
        <f t="shared" si="0"/>
        <v>0.37530463038180339</v>
      </c>
      <c r="J30">
        <v>0.75</v>
      </c>
      <c r="K30">
        <v>1</v>
      </c>
      <c r="L30">
        <v>374</v>
      </c>
      <c r="M30">
        <f t="shared" si="1"/>
        <v>0.85699999999999998</v>
      </c>
    </row>
    <row r="31" spans="1:13">
      <c r="A31" t="s">
        <v>160</v>
      </c>
      <c r="B31" s="1" t="s">
        <v>156</v>
      </c>
      <c r="C31" t="s">
        <v>161</v>
      </c>
      <c r="D31" t="s">
        <v>925</v>
      </c>
      <c r="E31" t="s">
        <v>926</v>
      </c>
      <c r="F31" t="s">
        <v>847</v>
      </c>
      <c r="G31">
        <v>0.25</v>
      </c>
      <c r="H31">
        <v>1</v>
      </c>
      <c r="I31">
        <f t="shared" si="0"/>
        <v>0.4</v>
      </c>
      <c r="J31">
        <v>0.2</v>
      </c>
      <c r="K31">
        <v>0.5</v>
      </c>
      <c r="L31">
        <v>316</v>
      </c>
      <c r="M31">
        <f t="shared" si="1"/>
        <v>0.28599999999999998</v>
      </c>
    </row>
    <row r="32" spans="1:13">
      <c r="A32" t="s">
        <v>164</v>
      </c>
      <c r="B32" s="1" t="s">
        <v>165</v>
      </c>
      <c r="C32" t="s">
        <v>166</v>
      </c>
      <c r="D32" t="s">
        <v>475</v>
      </c>
      <c r="E32" t="s">
        <v>927</v>
      </c>
      <c r="F32" t="s">
        <v>891</v>
      </c>
      <c r="G32">
        <v>0.16700000000000001</v>
      </c>
      <c r="H32">
        <v>1</v>
      </c>
      <c r="I32">
        <f t="shared" si="0"/>
        <v>0.28620394173093405</v>
      </c>
      <c r="J32">
        <v>0.5</v>
      </c>
      <c r="K32">
        <v>0.6</v>
      </c>
      <c r="L32">
        <v>396</v>
      </c>
      <c r="M32">
        <f t="shared" si="1"/>
        <v>0.54500000000000004</v>
      </c>
    </row>
    <row r="33" spans="1:13">
      <c r="A33" s="6" t="s">
        <v>169</v>
      </c>
      <c r="B33" s="1" t="s">
        <v>170</v>
      </c>
      <c r="C33" t="s">
        <v>171</v>
      </c>
      <c r="D33" t="s">
        <v>477</v>
      </c>
      <c r="E33" t="s">
        <v>928</v>
      </c>
      <c r="F33" t="s">
        <v>891</v>
      </c>
      <c r="G33">
        <v>0.33300000000000002</v>
      </c>
      <c r="H33">
        <v>1</v>
      </c>
      <c r="I33">
        <f t="shared" si="0"/>
        <v>0.4996249062265567</v>
      </c>
      <c r="J33">
        <v>0.83299999999999996</v>
      </c>
      <c r="K33">
        <v>1</v>
      </c>
      <c r="L33">
        <v>211</v>
      </c>
      <c r="M33">
        <f t="shared" si="1"/>
        <v>0.90900000000000003</v>
      </c>
    </row>
    <row r="34" spans="1:13">
      <c r="A34" t="s">
        <v>174</v>
      </c>
      <c r="B34" s="1" t="s">
        <v>118</v>
      </c>
      <c r="C34" t="s">
        <v>175</v>
      </c>
      <c r="D34" t="s">
        <v>479</v>
      </c>
      <c r="E34" t="s">
        <v>929</v>
      </c>
      <c r="F34" t="s">
        <v>429</v>
      </c>
      <c r="G34">
        <v>8.3000000000000004E-2</v>
      </c>
      <c r="H34">
        <v>1</v>
      </c>
      <c r="I34">
        <f t="shared" si="0"/>
        <v>0.15327793167128348</v>
      </c>
      <c r="J34">
        <v>0.33300000000000002</v>
      </c>
      <c r="K34">
        <v>0.4</v>
      </c>
      <c r="L34">
        <v>335</v>
      </c>
      <c r="M34">
        <f t="shared" si="1"/>
        <v>0.36299999999999999</v>
      </c>
    </row>
    <row r="35" spans="1:13">
      <c r="A35" t="s">
        <v>178</v>
      </c>
      <c r="B35" s="1" t="s">
        <v>29</v>
      </c>
      <c r="C35" t="s">
        <v>179</v>
      </c>
      <c r="D35" t="s">
        <v>481</v>
      </c>
      <c r="E35" t="s">
        <v>930</v>
      </c>
      <c r="F35" t="s">
        <v>891</v>
      </c>
      <c r="G35">
        <v>0.182</v>
      </c>
      <c r="H35">
        <v>1</v>
      </c>
      <c r="I35">
        <f t="shared" si="0"/>
        <v>0.30795262267343487</v>
      </c>
      <c r="J35">
        <v>0.6</v>
      </c>
      <c r="K35">
        <v>1</v>
      </c>
      <c r="L35">
        <v>316</v>
      </c>
      <c r="M35">
        <f t="shared" si="1"/>
        <v>0.75</v>
      </c>
    </row>
    <row r="36" spans="1:13">
      <c r="A36" t="s">
        <v>182</v>
      </c>
      <c r="B36" s="1" t="s">
        <v>183</v>
      </c>
      <c r="C36" t="s">
        <v>184</v>
      </c>
      <c r="D36" t="s">
        <v>483</v>
      </c>
      <c r="E36" t="s">
        <v>931</v>
      </c>
      <c r="F36" t="s">
        <v>187</v>
      </c>
      <c r="G36">
        <v>0.05</v>
      </c>
      <c r="H36">
        <v>1</v>
      </c>
      <c r="I36">
        <f t="shared" si="0"/>
        <v>9.5238095238095233E-2</v>
      </c>
      <c r="J36">
        <v>0.2</v>
      </c>
      <c r="K36">
        <v>1</v>
      </c>
      <c r="L36">
        <v>405</v>
      </c>
      <c r="M36">
        <f t="shared" si="1"/>
        <v>0.33300000000000002</v>
      </c>
    </row>
    <row r="37" spans="1:13">
      <c r="A37" t="s">
        <v>188</v>
      </c>
      <c r="B37" s="1" t="s">
        <v>189</v>
      </c>
      <c r="C37" t="s">
        <v>190</v>
      </c>
      <c r="D37" t="s">
        <v>485</v>
      </c>
      <c r="E37" t="s">
        <v>932</v>
      </c>
      <c r="F37" t="s">
        <v>582</v>
      </c>
      <c r="G37">
        <v>0.1</v>
      </c>
      <c r="H37">
        <v>1</v>
      </c>
      <c r="I37">
        <f t="shared" si="0"/>
        <v>0.18181818181818182</v>
      </c>
      <c r="J37">
        <v>0.5</v>
      </c>
      <c r="K37">
        <v>0.5</v>
      </c>
      <c r="L37">
        <v>394</v>
      </c>
      <c r="M37">
        <f t="shared" si="1"/>
        <v>0.5</v>
      </c>
    </row>
    <row r="38" spans="1:13">
      <c r="A38" t="s">
        <v>193</v>
      </c>
      <c r="B38" s="1" t="s">
        <v>88</v>
      </c>
      <c r="C38" t="s">
        <v>194</v>
      </c>
      <c r="D38" t="s">
        <v>487</v>
      </c>
      <c r="E38" t="s">
        <v>933</v>
      </c>
      <c r="F38" t="s">
        <v>705</v>
      </c>
      <c r="G38">
        <v>0</v>
      </c>
      <c r="H38">
        <v>0</v>
      </c>
      <c r="I38">
        <f t="shared" si="0"/>
        <v>0</v>
      </c>
      <c r="J38">
        <v>0.33300000000000002</v>
      </c>
      <c r="K38">
        <v>0.33300000000000002</v>
      </c>
      <c r="L38">
        <v>142</v>
      </c>
      <c r="M38">
        <f t="shared" si="1"/>
        <v>0.33300000000000002</v>
      </c>
    </row>
    <row r="39" spans="1:13">
      <c r="A39" t="s">
        <v>197</v>
      </c>
      <c r="B39" s="1" t="s">
        <v>198</v>
      </c>
      <c r="C39" t="s">
        <v>199</v>
      </c>
      <c r="D39" t="s">
        <v>320</v>
      </c>
      <c r="E39" t="s">
        <v>934</v>
      </c>
      <c r="F39" t="s">
        <v>51</v>
      </c>
      <c r="G39">
        <v>0.5</v>
      </c>
      <c r="H39">
        <v>0.5</v>
      </c>
      <c r="I39">
        <f t="shared" si="0"/>
        <v>0.5</v>
      </c>
      <c r="J39">
        <v>0.5</v>
      </c>
      <c r="K39">
        <v>0.66700000000000004</v>
      </c>
      <c r="L39">
        <v>133</v>
      </c>
      <c r="M39">
        <f t="shared" si="1"/>
        <v>0.57199999999999995</v>
      </c>
    </row>
    <row r="40" spans="1:13">
      <c r="A40" t="s">
        <v>202</v>
      </c>
      <c r="B40" s="1" t="s">
        <v>203</v>
      </c>
      <c r="C40" t="s">
        <v>204</v>
      </c>
      <c r="D40" t="s">
        <v>490</v>
      </c>
      <c r="E40" t="s">
        <v>935</v>
      </c>
      <c r="F40" t="s">
        <v>847</v>
      </c>
      <c r="G40">
        <v>0.14299999999999999</v>
      </c>
      <c r="H40">
        <v>1</v>
      </c>
      <c r="I40">
        <f t="shared" si="0"/>
        <v>0.25021872265966749</v>
      </c>
      <c r="J40">
        <v>0.5</v>
      </c>
      <c r="K40">
        <v>0.5</v>
      </c>
      <c r="L40">
        <v>228</v>
      </c>
      <c r="M40">
        <f t="shared" si="1"/>
        <v>0.5</v>
      </c>
    </row>
    <row r="41" spans="1:13">
      <c r="A41" t="s">
        <v>207</v>
      </c>
      <c r="B41" s="1" t="s">
        <v>29</v>
      </c>
      <c r="C41" t="s">
        <v>208</v>
      </c>
      <c r="D41" t="s">
        <v>416</v>
      </c>
      <c r="E41" t="s">
        <v>936</v>
      </c>
      <c r="F41" t="s">
        <v>891</v>
      </c>
      <c r="G41">
        <v>0.16700000000000001</v>
      </c>
      <c r="H41">
        <v>1</v>
      </c>
      <c r="I41">
        <f t="shared" si="0"/>
        <v>0.28620394173093405</v>
      </c>
      <c r="J41">
        <v>0.6</v>
      </c>
      <c r="K41">
        <v>0.75</v>
      </c>
      <c r="L41">
        <v>304</v>
      </c>
      <c r="M41">
        <f t="shared" si="1"/>
        <v>0.66700000000000004</v>
      </c>
    </row>
    <row r="42" spans="1:13">
      <c r="A42" t="s">
        <v>209</v>
      </c>
      <c r="B42" s="1" t="s">
        <v>210</v>
      </c>
      <c r="C42" t="s">
        <v>211</v>
      </c>
      <c r="D42" t="s">
        <v>492</v>
      </c>
      <c r="E42" t="s">
        <v>213</v>
      </c>
      <c r="F42" t="s">
        <v>45</v>
      </c>
      <c r="G42">
        <v>0.2</v>
      </c>
      <c r="H42">
        <v>0.33300000000000002</v>
      </c>
      <c r="I42">
        <f t="shared" si="0"/>
        <v>0.24990619136960601</v>
      </c>
      <c r="J42">
        <v>0</v>
      </c>
      <c r="K42">
        <v>0</v>
      </c>
      <c r="L42">
        <v>259</v>
      </c>
      <c r="M42">
        <f t="shared" si="1"/>
        <v>0</v>
      </c>
    </row>
    <row r="43" spans="1:13">
      <c r="A43" t="s">
        <v>214</v>
      </c>
      <c r="B43" s="1" t="s">
        <v>215</v>
      </c>
      <c r="C43" t="s">
        <v>216</v>
      </c>
      <c r="D43" t="s">
        <v>494</v>
      </c>
      <c r="E43" t="s">
        <v>937</v>
      </c>
      <c r="F43" t="s">
        <v>705</v>
      </c>
      <c r="G43">
        <v>0.28599999999999998</v>
      </c>
      <c r="H43">
        <v>1</v>
      </c>
      <c r="I43">
        <f t="shared" si="0"/>
        <v>0.44479004665629857</v>
      </c>
      <c r="J43">
        <v>0.75</v>
      </c>
      <c r="K43">
        <v>0.6</v>
      </c>
      <c r="L43">
        <v>303</v>
      </c>
      <c r="M43">
        <f t="shared" si="1"/>
        <v>0.66700000000000004</v>
      </c>
    </row>
    <row r="44" spans="1:13">
      <c r="A44" t="s">
        <v>219</v>
      </c>
      <c r="B44" s="1" t="s">
        <v>41</v>
      </c>
      <c r="C44" t="s">
        <v>220</v>
      </c>
      <c r="D44" t="s">
        <v>938</v>
      </c>
      <c r="E44" t="s">
        <v>939</v>
      </c>
      <c r="F44" t="s">
        <v>705</v>
      </c>
      <c r="G44">
        <v>0.105</v>
      </c>
      <c r="H44">
        <v>1</v>
      </c>
      <c r="I44">
        <f t="shared" si="0"/>
        <v>0.19004524886877827</v>
      </c>
      <c r="J44">
        <v>0.25</v>
      </c>
      <c r="K44">
        <v>0.25</v>
      </c>
      <c r="L44">
        <v>342</v>
      </c>
      <c r="M44">
        <f t="shared" si="1"/>
        <v>0.25</v>
      </c>
    </row>
    <row r="45" spans="1:13">
      <c r="A45" t="s">
        <v>223</v>
      </c>
      <c r="B45" s="1" t="s">
        <v>224</v>
      </c>
      <c r="C45" t="s">
        <v>119</v>
      </c>
      <c r="D45" t="s">
        <v>499</v>
      </c>
      <c r="E45" t="s">
        <v>708</v>
      </c>
      <c r="F45" t="s">
        <v>429</v>
      </c>
      <c r="G45">
        <v>0.11799999999999999</v>
      </c>
      <c r="H45">
        <v>1</v>
      </c>
      <c r="I45">
        <f t="shared" si="0"/>
        <v>0.21109123434704832</v>
      </c>
      <c r="J45">
        <v>1</v>
      </c>
      <c r="K45">
        <v>0.6</v>
      </c>
      <c r="L45">
        <v>362</v>
      </c>
      <c r="M45">
        <f t="shared" si="1"/>
        <v>0.75</v>
      </c>
    </row>
    <row r="46" spans="1:13">
      <c r="A46" t="s">
        <v>226</v>
      </c>
      <c r="B46" s="1" t="s">
        <v>88</v>
      </c>
      <c r="C46" t="s">
        <v>157</v>
      </c>
      <c r="D46" t="s">
        <v>501</v>
      </c>
      <c r="E46" t="s">
        <v>940</v>
      </c>
      <c r="F46" t="s">
        <v>705</v>
      </c>
      <c r="G46">
        <v>7.0999999999999994E-2</v>
      </c>
      <c r="H46">
        <v>1</v>
      </c>
      <c r="I46">
        <f t="shared" si="0"/>
        <v>0.13258636788048553</v>
      </c>
      <c r="J46">
        <v>0.25</v>
      </c>
      <c r="K46">
        <v>0.33300000000000002</v>
      </c>
      <c r="L46">
        <v>310</v>
      </c>
      <c r="M46">
        <f t="shared" si="1"/>
        <v>0.28599999999999998</v>
      </c>
    </row>
    <row r="47" spans="1:13">
      <c r="A47" t="s">
        <v>229</v>
      </c>
      <c r="B47" s="1" t="s">
        <v>230</v>
      </c>
      <c r="C47" t="s">
        <v>231</v>
      </c>
      <c r="D47" t="s">
        <v>503</v>
      </c>
      <c r="E47" t="s">
        <v>254</v>
      </c>
      <c r="F47" t="s">
        <v>27</v>
      </c>
      <c r="G47">
        <v>1</v>
      </c>
      <c r="H47">
        <v>0.5</v>
      </c>
      <c r="I47">
        <f t="shared" si="0"/>
        <v>0.66666666666666663</v>
      </c>
      <c r="J47">
        <v>1</v>
      </c>
      <c r="K47">
        <v>0.5</v>
      </c>
      <c r="L47">
        <v>117</v>
      </c>
      <c r="M47">
        <f t="shared" si="1"/>
        <v>0.66700000000000004</v>
      </c>
    </row>
    <row r="48" spans="1:13">
      <c r="A48" t="s">
        <v>234</v>
      </c>
      <c r="B48" s="1" t="s">
        <v>88</v>
      </c>
      <c r="C48" t="s">
        <v>235</v>
      </c>
      <c r="D48" t="s">
        <v>504</v>
      </c>
      <c r="E48" t="s">
        <v>709</v>
      </c>
      <c r="F48" t="s">
        <v>705</v>
      </c>
      <c r="G48">
        <v>5.8999999999999997E-2</v>
      </c>
      <c r="H48">
        <v>1</v>
      </c>
      <c r="I48">
        <f t="shared" si="0"/>
        <v>0.11142587346553352</v>
      </c>
      <c r="J48">
        <v>1</v>
      </c>
      <c r="K48">
        <v>0.75</v>
      </c>
      <c r="L48">
        <v>337</v>
      </c>
      <c r="M48">
        <f t="shared" si="1"/>
        <v>0.85699999999999998</v>
      </c>
    </row>
    <row r="49" spans="1:13">
      <c r="A49" t="s">
        <v>238</v>
      </c>
      <c r="B49" s="1" t="s">
        <v>215</v>
      </c>
      <c r="C49" t="s">
        <v>239</v>
      </c>
      <c r="D49" t="s">
        <v>941</v>
      </c>
      <c r="E49" t="s">
        <v>942</v>
      </c>
      <c r="F49" t="s">
        <v>705</v>
      </c>
      <c r="G49">
        <v>0.28599999999999998</v>
      </c>
      <c r="H49">
        <v>1</v>
      </c>
      <c r="I49">
        <f t="shared" si="0"/>
        <v>0.44479004665629857</v>
      </c>
      <c r="J49">
        <v>0.33300000000000002</v>
      </c>
      <c r="K49">
        <v>0.75</v>
      </c>
      <c r="L49">
        <v>293</v>
      </c>
      <c r="M49">
        <f t="shared" si="1"/>
        <v>0.46100000000000002</v>
      </c>
    </row>
    <row r="50" spans="1:13">
      <c r="A50" t="s">
        <v>241</v>
      </c>
      <c r="B50" s="1" t="s">
        <v>203</v>
      </c>
      <c r="C50" t="s">
        <v>242</v>
      </c>
      <c r="D50" t="s">
        <v>943</v>
      </c>
      <c r="E50" t="s">
        <v>944</v>
      </c>
      <c r="F50" t="s">
        <v>847</v>
      </c>
      <c r="G50">
        <v>0.14299999999999999</v>
      </c>
      <c r="H50">
        <v>1</v>
      </c>
      <c r="I50">
        <f t="shared" si="0"/>
        <v>0.25021872265966749</v>
      </c>
      <c r="J50">
        <v>0.16700000000000001</v>
      </c>
      <c r="K50">
        <v>0.25</v>
      </c>
      <c r="L50">
        <v>220</v>
      </c>
      <c r="M50">
        <f t="shared" si="1"/>
        <v>0.2</v>
      </c>
    </row>
    <row r="51" spans="1:13">
      <c r="A51" t="s">
        <v>245</v>
      </c>
      <c r="B51" s="1" t="s">
        <v>29</v>
      </c>
      <c r="C51" t="s">
        <v>208</v>
      </c>
      <c r="D51" t="s">
        <v>416</v>
      </c>
      <c r="E51" t="s">
        <v>890</v>
      </c>
      <c r="F51" t="s">
        <v>891</v>
      </c>
      <c r="G51">
        <v>0.16700000000000001</v>
      </c>
      <c r="H51">
        <v>1</v>
      </c>
      <c r="I51">
        <f t="shared" si="0"/>
        <v>0.28620394173093405</v>
      </c>
      <c r="J51">
        <v>0.8</v>
      </c>
      <c r="K51">
        <v>1</v>
      </c>
      <c r="L51">
        <v>304</v>
      </c>
      <c r="M51">
        <f t="shared" si="1"/>
        <v>0.88900000000000001</v>
      </c>
    </row>
    <row r="52" spans="1:13">
      <c r="A52" t="s">
        <v>246</v>
      </c>
      <c r="B52" s="1" t="s">
        <v>247</v>
      </c>
      <c r="C52" t="s">
        <v>248</v>
      </c>
      <c r="D52" t="s">
        <v>509</v>
      </c>
      <c r="E52" t="s">
        <v>945</v>
      </c>
      <c r="F52" t="s">
        <v>705</v>
      </c>
      <c r="G52">
        <v>0.25</v>
      </c>
      <c r="H52">
        <v>1</v>
      </c>
      <c r="I52">
        <f t="shared" si="0"/>
        <v>0.4</v>
      </c>
      <c r="J52">
        <v>0.5</v>
      </c>
      <c r="K52">
        <v>0.5</v>
      </c>
      <c r="L52">
        <v>289</v>
      </c>
      <c r="M52">
        <f t="shared" si="1"/>
        <v>0.5</v>
      </c>
    </row>
    <row r="53" spans="1:13">
      <c r="A53" t="s">
        <v>251</v>
      </c>
      <c r="B53" s="1" t="s">
        <v>47</v>
      </c>
      <c r="C53" t="s">
        <v>252</v>
      </c>
      <c r="D53" t="s">
        <v>511</v>
      </c>
      <c r="E53" t="s">
        <v>254</v>
      </c>
      <c r="F53" t="s">
        <v>27</v>
      </c>
      <c r="G53">
        <v>0.5</v>
      </c>
      <c r="H53">
        <v>0.5</v>
      </c>
      <c r="I53">
        <f t="shared" si="0"/>
        <v>0.5</v>
      </c>
      <c r="J53">
        <v>1</v>
      </c>
      <c r="K53">
        <v>0.5</v>
      </c>
      <c r="L53">
        <v>118</v>
      </c>
      <c r="M53">
        <f t="shared" si="1"/>
        <v>0.66700000000000004</v>
      </c>
    </row>
    <row r="54" spans="1:13">
      <c r="A54" t="s">
        <v>255</v>
      </c>
      <c r="B54" s="1" t="s">
        <v>23</v>
      </c>
      <c r="C54" t="s">
        <v>256</v>
      </c>
      <c r="D54" t="s">
        <v>512</v>
      </c>
      <c r="E54" t="s">
        <v>946</v>
      </c>
      <c r="F54" t="s">
        <v>582</v>
      </c>
      <c r="G54">
        <v>7.6999999999999999E-2</v>
      </c>
      <c r="H54">
        <v>0.5</v>
      </c>
      <c r="I54">
        <f t="shared" si="0"/>
        <v>0.13344887348353554</v>
      </c>
      <c r="J54">
        <v>1</v>
      </c>
      <c r="K54">
        <v>0.66700000000000004</v>
      </c>
      <c r="L54">
        <v>255</v>
      </c>
      <c r="M54">
        <f t="shared" si="1"/>
        <v>0.8</v>
      </c>
    </row>
    <row r="55" spans="1:13">
      <c r="A55" t="s">
        <v>259</v>
      </c>
      <c r="B55" s="1" t="s">
        <v>143</v>
      </c>
      <c r="C55" t="s">
        <v>260</v>
      </c>
      <c r="D55" t="s">
        <v>513</v>
      </c>
      <c r="E55" t="s">
        <v>947</v>
      </c>
      <c r="F55" t="s">
        <v>847</v>
      </c>
      <c r="G55">
        <v>0.1</v>
      </c>
      <c r="H55">
        <v>1</v>
      </c>
      <c r="I55">
        <f t="shared" si="0"/>
        <v>0.18181818181818182</v>
      </c>
      <c r="J55">
        <v>0.5</v>
      </c>
      <c r="K55">
        <v>0.5</v>
      </c>
      <c r="L55">
        <v>217</v>
      </c>
      <c r="M55">
        <f t="shared" si="1"/>
        <v>0.5</v>
      </c>
    </row>
    <row r="56" spans="1:13">
      <c r="A56" t="s">
        <v>263</v>
      </c>
      <c r="B56" s="1" t="s">
        <v>93</v>
      </c>
      <c r="C56" t="s">
        <v>264</v>
      </c>
      <c r="D56" t="s">
        <v>515</v>
      </c>
      <c r="E56" t="s">
        <v>266</v>
      </c>
      <c r="F56" t="s">
        <v>847</v>
      </c>
      <c r="G56">
        <v>0.16700000000000001</v>
      </c>
      <c r="H56">
        <v>1</v>
      </c>
      <c r="I56">
        <f t="shared" si="0"/>
        <v>0.28620394173093405</v>
      </c>
      <c r="J56">
        <v>0.6</v>
      </c>
      <c r="K56">
        <v>0.75</v>
      </c>
      <c r="L56">
        <v>299</v>
      </c>
      <c r="M56">
        <f t="shared" si="1"/>
        <v>0.66700000000000004</v>
      </c>
    </row>
    <row r="57" spans="1:13">
      <c r="A57" t="s">
        <v>267</v>
      </c>
      <c r="B57" s="1" t="s">
        <v>268</v>
      </c>
      <c r="C57" t="s">
        <v>269</v>
      </c>
      <c r="D57" t="s">
        <v>948</v>
      </c>
      <c r="E57" t="s">
        <v>949</v>
      </c>
      <c r="F57" t="s">
        <v>45</v>
      </c>
      <c r="G57">
        <v>0.28599999999999998</v>
      </c>
      <c r="H57">
        <v>0.66700000000000004</v>
      </c>
      <c r="I57">
        <f t="shared" si="0"/>
        <v>0.4003399790136411</v>
      </c>
      <c r="J57">
        <v>0.33300000000000002</v>
      </c>
      <c r="K57">
        <v>0.5</v>
      </c>
      <c r="L57">
        <v>330</v>
      </c>
      <c r="M57">
        <f t="shared" si="1"/>
        <v>0.4</v>
      </c>
    </row>
    <row r="58" spans="1:13">
      <c r="A58" t="s">
        <v>271</v>
      </c>
      <c r="B58" s="1" t="s">
        <v>272</v>
      </c>
      <c r="C58" t="s">
        <v>273</v>
      </c>
      <c r="D58" t="s">
        <v>519</v>
      </c>
      <c r="E58" t="s">
        <v>950</v>
      </c>
      <c r="F58" t="s">
        <v>45</v>
      </c>
      <c r="G58">
        <v>0.182</v>
      </c>
      <c r="H58">
        <v>0.66700000000000004</v>
      </c>
      <c r="I58">
        <f t="shared" si="0"/>
        <v>0.28596937573616021</v>
      </c>
      <c r="J58">
        <v>0.5</v>
      </c>
      <c r="K58">
        <v>1</v>
      </c>
      <c r="L58">
        <v>282</v>
      </c>
      <c r="M58">
        <f t="shared" si="1"/>
        <v>0.66700000000000004</v>
      </c>
    </row>
    <row r="59" spans="1:13">
      <c r="A59" t="s">
        <v>276</v>
      </c>
      <c r="B59" s="1" t="s">
        <v>277</v>
      </c>
      <c r="C59" t="s">
        <v>278</v>
      </c>
      <c r="D59" t="s">
        <v>521</v>
      </c>
      <c r="E59" t="s">
        <v>951</v>
      </c>
      <c r="F59" t="s">
        <v>51</v>
      </c>
      <c r="G59">
        <v>0.11799999999999999</v>
      </c>
      <c r="H59">
        <v>1</v>
      </c>
      <c r="I59">
        <f t="shared" si="0"/>
        <v>0.21109123434704832</v>
      </c>
      <c r="J59">
        <v>0.33300000000000002</v>
      </c>
      <c r="K59">
        <v>1</v>
      </c>
      <c r="L59">
        <v>342</v>
      </c>
      <c r="M59">
        <f t="shared" si="1"/>
        <v>0.5</v>
      </c>
    </row>
    <row r="60" spans="1:13">
      <c r="A60" t="s">
        <v>281</v>
      </c>
      <c r="B60" s="1" t="s">
        <v>29</v>
      </c>
      <c r="C60" t="s">
        <v>264</v>
      </c>
      <c r="D60" t="s">
        <v>523</v>
      </c>
      <c r="E60" t="s">
        <v>516</v>
      </c>
      <c r="F60" t="s">
        <v>847</v>
      </c>
      <c r="G60">
        <v>0.182</v>
      </c>
      <c r="H60">
        <v>1</v>
      </c>
      <c r="I60">
        <f t="shared" si="0"/>
        <v>0.30795262267343487</v>
      </c>
      <c r="J60">
        <v>1</v>
      </c>
      <c r="K60">
        <v>0.75</v>
      </c>
      <c r="L60">
        <v>238</v>
      </c>
      <c r="M60">
        <f t="shared" si="1"/>
        <v>0.85699999999999998</v>
      </c>
    </row>
    <row r="61" spans="1:13">
      <c r="A61" t="s">
        <v>284</v>
      </c>
      <c r="B61" s="1" t="s">
        <v>285</v>
      </c>
      <c r="C61" t="s">
        <v>286</v>
      </c>
      <c r="D61" t="s">
        <v>952</v>
      </c>
      <c r="E61" t="s">
        <v>953</v>
      </c>
      <c r="F61" t="s">
        <v>847</v>
      </c>
      <c r="G61">
        <v>0.11799999999999999</v>
      </c>
      <c r="H61">
        <v>1</v>
      </c>
      <c r="I61">
        <f t="shared" si="0"/>
        <v>0.21109123434704832</v>
      </c>
      <c r="J61">
        <v>0.66700000000000004</v>
      </c>
      <c r="K61">
        <v>0.5</v>
      </c>
      <c r="L61">
        <v>391</v>
      </c>
      <c r="M61">
        <f t="shared" si="1"/>
        <v>0.57199999999999995</v>
      </c>
    </row>
    <row r="62" spans="1:13">
      <c r="A62" t="s">
        <v>289</v>
      </c>
      <c r="B62" s="1" t="s">
        <v>290</v>
      </c>
      <c r="C62" t="s">
        <v>291</v>
      </c>
      <c r="D62" t="s">
        <v>526</v>
      </c>
      <c r="E62" t="s">
        <v>954</v>
      </c>
      <c r="F62" t="s">
        <v>590</v>
      </c>
      <c r="G62">
        <v>0.125</v>
      </c>
      <c r="H62">
        <v>1</v>
      </c>
      <c r="I62">
        <f t="shared" si="0"/>
        <v>0.22222222222222221</v>
      </c>
      <c r="J62">
        <v>0.14299999999999999</v>
      </c>
      <c r="K62">
        <v>0.5</v>
      </c>
      <c r="L62">
        <v>394</v>
      </c>
      <c r="M62">
        <f t="shared" si="1"/>
        <v>0.222</v>
      </c>
    </row>
    <row r="63" spans="1:13">
      <c r="A63" t="s">
        <v>294</v>
      </c>
      <c r="B63" s="1" t="s">
        <v>88</v>
      </c>
      <c r="C63" t="s">
        <v>295</v>
      </c>
      <c r="D63" t="s">
        <v>955</v>
      </c>
      <c r="E63" t="s">
        <v>956</v>
      </c>
      <c r="F63" t="s">
        <v>705</v>
      </c>
      <c r="G63">
        <v>5.8999999999999997E-2</v>
      </c>
      <c r="H63">
        <v>1</v>
      </c>
      <c r="I63">
        <f t="shared" si="0"/>
        <v>0.11142587346553352</v>
      </c>
      <c r="J63">
        <v>0.66700000000000004</v>
      </c>
      <c r="K63">
        <v>0.5</v>
      </c>
      <c r="L63">
        <v>352</v>
      </c>
      <c r="M63">
        <f t="shared" si="1"/>
        <v>0.57199999999999995</v>
      </c>
    </row>
    <row r="64" spans="1:13">
      <c r="A64" t="s">
        <v>298</v>
      </c>
      <c r="B64" s="1" t="s">
        <v>299</v>
      </c>
      <c r="C64" t="s">
        <v>233</v>
      </c>
      <c r="D64" t="s">
        <v>530</v>
      </c>
      <c r="E64" t="s">
        <v>254</v>
      </c>
      <c r="F64" t="s">
        <v>27</v>
      </c>
      <c r="G64">
        <v>0.33300000000000002</v>
      </c>
      <c r="H64">
        <v>0.33300000000000002</v>
      </c>
      <c r="I64">
        <f t="shared" si="0"/>
        <v>0.33300000000000002</v>
      </c>
      <c r="J64">
        <v>0.5</v>
      </c>
      <c r="K64">
        <v>0.5</v>
      </c>
      <c r="L64">
        <v>119</v>
      </c>
      <c r="M64">
        <f t="shared" si="1"/>
        <v>0.5</v>
      </c>
    </row>
    <row r="65" spans="1:13">
      <c r="A65" t="s">
        <v>302</v>
      </c>
      <c r="B65" s="1" t="s">
        <v>277</v>
      </c>
      <c r="C65" t="s">
        <v>278</v>
      </c>
      <c r="D65" t="s">
        <v>531</v>
      </c>
      <c r="E65" t="s">
        <v>957</v>
      </c>
      <c r="F65" t="s">
        <v>590</v>
      </c>
      <c r="G65">
        <v>0.14299999999999999</v>
      </c>
      <c r="H65">
        <v>1</v>
      </c>
      <c r="I65">
        <f t="shared" si="0"/>
        <v>0.25021872265966749</v>
      </c>
      <c r="J65">
        <v>0.33300000000000002</v>
      </c>
      <c r="K65">
        <v>1</v>
      </c>
      <c r="L65">
        <v>330</v>
      </c>
      <c r="M65">
        <f t="shared" si="1"/>
        <v>0.5</v>
      </c>
    </row>
    <row r="66" spans="1:13">
      <c r="A66" t="s">
        <v>305</v>
      </c>
      <c r="B66" s="1" t="s">
        <v>47</v>
      </c>
      <c r="C66" t="s">
        <v>306</v>
      </c>
      <c r="D66" t="s">
        <v>534</v>
      </c>
      <c r="E66" t="s">
        <v>958</v>
      </c>
      <c r="F66" t="s">
        <v>847</v>
      </c>
      <c r="G66">
        <v>0.11799999999999999</v>
      </c>
      <c r="H66">
        <v>1</v>
      </c>
      <c r="I66">
        <f t="shared" ref="I66:I94" si="2">IF(G66+H66=0,0,2*G66*H66/(G66+H66))</f>
        <v>0.21109123434704832</v>
      </c>
      <c r="J66">
        <v>0.66700000000000004</v>
      </c>
      <c r="K66">
        <v>1</v>
      </c>
      <c r="L66">
        <v>343</v>
      </c>
      <c r="M66">
        <f t="shared" ref="M66:M94" si="3">IF(J66+K66=0,0,ROUND(2*J66*K66/(J66+K66),3))</f>
        <v>0.8</v>
      </c>
    </row>
    <row r="67" spans="1:13">
      <c r="A67" t="s">
        <v>309</v>
      </c>
      <c r="B67" s="1" t="s">
        <v>310</v>
      </c>
      <c r="C67" t="s">
        <v>311</v>
      </c>
      <c r="D67" t="s">
        <v>536</v>
      </c>
      <c r="E67" t="s">
        <v>959</v>
      </c>
      <c r="F67" t="s">
        <v>705</v>
      </c>
      <c r="G67">
        <v>7.0999999999999994E-2</v>
      </c>
      <c r="H67">
        <v>0.5</v>
      </c>
      <c r="I67">
        <f t="shared" si="2"/>
        <v>0.12434325744308231</v>
      </c>
      <c r="J67">
        <v>0.33300000000000002</v>
      </c>
      <c r="K67">
        <v>0.25</v>
      </c>
      <c r="L67">
        <v>329</v>
      </c>
      <c r="M67">
        <f t="shared" si="3"/>
        <v>0.28599999999999998</v>
      </c>
    </row>
    <row r="68" spans="1:13">
      <c r="A68" t="s">
        <v>314</v>
      </c>
      <c r="B68" s="1" t="s">
        <v>315</v>
      </c>
      <c r="C68" t="s">
        <v>316</v>
      </c>
      <c r="D68" t="s">
        <v>960</v>
      </c>
      <c r="E68" t="s">
        <v>961</v>
      </c>
      <c r="F68" t="s">
        <v>847</v>
      </c>
      <c r="G68">
        <v>7.0999999999999994E-2</v>
      </c>
      <c r="H68">
        <v>1</v>
      </c>
      <c r="I68">
        <f t="shared" si="2"/>
        <v>0.13258636788048553</v>
      </c>
      <c r="J68">
        <v>0.6</v>
      </c>
      <c r="K68">
        <v>0.75</v>
      </c>
      <c r="L68">
        <v>324</v>
      </c>
      <c r="M68">
        <f t="shared" si="3"/>
        <v>0.66700000000000004</v>
      </c>
    </row>
    <row r="69" spans="1:13">
      <c r="A69" t="s">
        <v>319</v>
      </c>
      <c r="B69" s="1" t="s">
        <v>320</v>
      </c>
      <c r="C69" t="s">
        <v>321</v>
      </c>
      <c r="D69" t="s">
        <v>540</v>
      </c>
      <c r="E69" t="s">
        <v>678</v>
      </c>
      <c r="F69" t="s">
        <v>847</v>
      </c>
      <c r="G69">
        <v>0.182</v>
      </c>
      <c r="H69">
        <v>1</v>
      </c>
      <c r="I69">
        <f t="shared" si="2"/>
        <v>0.30795262267343487</v>
      </c>
      <c r="J69">
        <v>0.66700000000000004</v>
      </c>
      <c r="K69">
        <v>0.5</v>
      </c>
      <c r="L69">
        <v>217</v>
      </c>
      <c r="M69">
        <f t="shared" si="3"/>
        <v>0.57199999999999995</v>
      </c>
    </row>
    <row r="70" spans="1:13">
      <c r="A70" t="s">
        <v>324</v>
      </c>
      <c r="B70" s="1" t="s">
        <v>29</v>
      </c>
      <c r="C70" t="s">
        <v>325</v>
      </c>
      <c r="D70" t="s">
        <v>542</v>
      </c>
      <c r="E70" t="s">
        <v>962</v>
      </c>
      <c r="F70" t="s">
        <v>891</v>
      </c>
      <c r="G70">
        <v>0.125</v>
      </c>
      <c r="H70">
        <v>1</v>
      </c>
      <c r="I70">
        <f t="shared" si="2"/>
        <v>0.22222222222222221</v>
      </c>
      <c r="J70">
        <v>1</v>
      </c>
      <c r="K70">
        <v>0.66700000000000004</v>
      </c>
      <c r="L70">
        <v>382</v>
      </c>
      <c r="M70">
        <f t="shared" si="3"/>
        <v>0.8</v>
      </c>
    </row>
    <row r="71" spans="1:13">
      <c r="A71" t="s">
        <v>328</v>
      </c>
      <c r="B71" s="1" t="s">
        <v>47</v>
      </c>
      <c r="C71" t="s">
        <v>148</v>
      </c>
      <c r="D71" t="s">
        <v>544</v>
      </c>
      <c r="E71" t="s">
        <v>963</v>
      </c>
      <c r="F71" t="s">
        <v>51</v>
      </c>
      <c r="G71">
        <v>0.222</v>
      </c>
      <c r="H71">
        <v>1</v>
      </c>
      <c r="I71">
        <f t="shared" si="2"/>
        <v>0.36333878887070375</v>
      </c>
      <c r="J71">
        <v>0.16700000000000001</v>
      </c>
      <c r="K71">
        <v>0.5</v>
      </c>
      <c r="L71">
        <v>256</v>
      </c>
      <c r="M71">
        <f t="shared" si="3"/>
        <v>0.25</v>
      </c>
    </row>
    <row r="72" spans="1:13">
      <c r="A72" t="s">
        <v>40</v>
      </c>
      <c r="B72" s="1" t="s">
        <v>70</v>
      </c>
      <c r="C72" t="s">
        <v>273</v>
      </c>
      <c r="D72" t="s">
        <v>420</v>
      </c>
      <c r="E72" t="s">
        <v>42</v>
      </c>
      <c r="F72" t="s">
        <v>45</v>
      </c>
      <c r="G72">
        <v>0.33300000000000002</v>
      </c>
      <c r="H72">
        <v>1</v>
      </c>
      <c r="I72">
        <f t="shared" si="2"/>
        <v>0.4996249062265567</v>
      </c>
      <c r="J72">
        <v>0.5</v>
      </c>
      <c r="K72">
        <v>1</v>
      </c>
      <c r="L72">
        <v>314</v>
      </c>
      <c r="M72">
        <f t="shared" si="3"/>
        <v>0.66700000000000004</v>
      </c>
    </row>
    <row r="73" spans="1:13">
      <c r="A73" t="s">
        <v>331</v>
      </c>
      <c r="B73" s="1" t="s">
        <v>70</v>
      </c>
      <c r="C73" t="s">
        <v>332</v>
      </c>
      <c r="D73" t="s">
        <v>547</v>
      </c>
      <c r="E73" t="s">
        <v>334</v>
      </c>
      <c r="F73" t="s">
        <v>706</v>
      </c>
      <c r="G73">
        <v>0.13300000000000001</v>
      </c>
      <c r="H73">
        <v>1</v>
      </c>
      <c r="I73">
        <f t="shared" si="2"/>
        <v>0.23477493380406003</v>
      </c>
      <c r="J73">
        <v>0.33300000000000002</v>
      </c>
      <c r="K73">
        <v>1</v>
      </c>
      <c r="L73">
        <v>371</v>
      </c>
      <c r="M73">
        <f t="shared" si="3"/>
        <v>0.5</v>
      </c>
    </row>
    <row r="74" spans="1:13">
      <c r="A74" t="s">
        <v>335</v>
      </c>
      <c r="B74" s="1" t="s">
        <v>41</v>
      </c>
      <c r="C74" t="s">
        <v>336</v>
      </c>
      <c r="D74" t="s">
        <v>337</v>
      </c>
      <c r="E74" t="s">
        <v>338</v>
      </c>
      <c r="F74" t="s">
        <v>187</v>
      </c>
      <c r="G74">
        <v>0.1</v>
      </c>
      <c r="H74">
        <v>1</v>
      </c>
      <c r="I74">
        <f t="shared" si="2"/>
        <v>0.18181818181818182</v>
      </c>
      <c r="J74">
        <v>1</v>
      </c>
      <c r="K74">
        <v>0.33300000000000002</v>
      </c>
      <c r="L74">
        <v>398</v>
      </c>
      <c r="M74">
        <f t="shared" si="3"/>
        <v>0.5</v>
      </c>
    </row>
    <row r="75" spans="1:13">
      <c r="A75" t="s">
        <v>339</v>
      </c>
      <c r="B75" s="1" t="s">
        <v>340</v>
      </c>
      <c r="C75" t="s">
        <v>341</v>
      </c>
      <c r="D75" t="s">
        <v>549</v>
      </c>
      <c r="E75" t="s">
        <v>550</v>
      </c>
      <c r="F75" t="s">
        <v>847</v>
      </c>
      <c r="G75">
        <v>0.222</v>
      </c>
      <c r="H75">
        <v>0.66700000000000004</v>
      </c>
      <c r="I75">
        <f t="shared" si="2"/>
        <v>0.33312485939257597</v>
      </c>
      <c r="J75">
        <v>1</v>
      </c>
      <c r="K75">
        <v>0.4</v>
      </c>
      <c r="L75">
        <v>366</v>
      </c>
      <c r="M75">
        <f t="shared" si="3"/>
        <v>0.57099999999999995</v>
      </c>
    </row>
    <row r="76" spans="1:13">
      <c r="A76" t="s">
        <v>344</v>
      </c>
      <c r="B76" s="1" t="s">
        <v>299</v>
      </c>
      <c r="C76" t="s">
        <v>345</v>
      </c>
      <c r="D76" t="s">
        <v>551</v>
      </c>
      <c r="E76" t="s">
        <v>347</v>
      </c>
      <c r="F76" t="s">
        <v>705</v>
      </c>
      <c r="G76">
        <v>0.23100000000000001</v>
      </c>
      <c r="H76">
        <v>1</v>
      </c>
      <c r="I76">
        <f t="shared" si="2"/>
        <v>0.37530463038180339</v>
      </c>
      <c r="J76">
        <v>0</v>
      </c>
      <c r="K76">
        <v>0</v>
      </c>
      <c r="L76">
        <v>331</v>
      </c>
      <c r="M76">
        <f t="shared" si="3"/>
        <v>0</v>
      </c>
    </row>
    <row r="77" spans="1:13">
      <c r="A77" t="s">
        <v>348</v>
      </c>
      <c r="B77" s="1" t="s">
        <v>315</v>
      </c>
      <c r="C77" t="s">
        <v>349</v>
      </c>
      <c r="D77" t="s">
        <v>553</v>
      </c>
      <c r="E77" t="s">
        <v>964</v>
      </c>
      <c r="F77" t="s">
        <v>27</v>
      </c>
      <c r="G77">
        <v>0.25</v>
      </c>
      <c r="H77">
        <v>1</v>
      </c>
      <c r="I77">
        <f t="shared" si="2"/>
        <v>0.4</v>
      </c>
      <c r="J77">
        <v>0.66700000000000004</v>
      </c>
      <c r="K77">
        <v>0.66700000000000004</v>
      </c>
      <c r="L77">
        <v>134</v>
      </c>
      <c r="M77">
        <f t="shared" si="3"/>
        <v>0.66700000000000004</v>
      </c>
    </row>
    <row r="78" spans="1:13">
      <c r="A78" t="s">
        <v>353</v>
      </c>
      <c r="B78" s="1" t="s">
        <v>354</v>
      </c>
      <c r="C78" t="s">
        <v>355</v>
      </c>
      <c r="D78" t="s">
        <v>477</v>
      </c>
      <c r="E78" t="s">
        <v>965</v>
      </c>
      <c r="F78" t="s">
        <v>847</v>
      </c>
      <c r="G78">
        <v>0.5</v>
      </c>
      <c r="H78">
        <v>1</v>
      </c>
      <c r="I78">
        <f t="shared" si="2"/>
        <v>0.66666666666666663</v>
      </c>
      <c r="J78">
        <v>0.5</v>
      </c>
      <c r="K78">
        <v>1</v>
      </c>
      <c r="L78">
        <v>206</v>
      </c>
      <c r="M78">
        <f t="shared" si="3"/>
        <v>0.66700000000000004</v>
      </c>
    </row>
    <row r="79" spans="1:13">
      <c r="A79" t="s">
        <v>357</v>
      </c>
      <c r="B79" s="1" t="s">
        <v>29</v>
      </c>
      <c r="C79" t="s">
        <v>358</v>
      </c>
      <c r="D79" t="s">
        <v>416</v>
      </c>
      <c r="E79" t="s">
        <v>871</v>
      </c>
      <c r="F79" t="s">
        <v>891</v>
      </c>
      <c r="G79">
        <v>0.16700000000000001</v>
      </c>
      <c r="H79">
        <v>1</v>
      </c>
      <c r="I79">
        <f t="shared" si="2"/>
        <v>0.28620394173093405</v>
      </c>
      <c r="J79">
        <v>0.5</v>
      </c>
      <c r="K79">
        <v>0.5</v>
      </c>
      <c r="L79">
        <v>301</v>
      </c>
      <c r="M79">
        <f t="shared" si="3"/>
        <v>0.5</v>
      </c>
    </row>
    <row r="80" spans="1:13">
      <c r="A80" t="s">
        <v>359</v>
      </c>
      <c r="B80" s="1" t="s">
        <v>360</v>
      </c>
      <c r="C80" t="s">
        <v>361</v>
      </c>
      <c r="D80" t="s">
        <v>556</v>
      </c>
      <c r="E80" t="s">
        <v>966</v>
      </c>
      <c r="F80" t="s">
        <v>705</v>
      </c>
      <c r="G80">
        <v>0</v>
      </c>
      <c r="H80">
        <v>0</v>
      </c>
      <c r="I80">
        <f t="shared" si="2"/>
        <v>0</v>
      </c>
      <c r="J80">
        <v>0.5</v>
      </c>
      <c r="K80">
        <v>0.5</v>
      </c>
      <c r="L80">
        <v>218</v>
      </c>
      <c r="M80">
        <f t="shared" si="3"/>
        <v>0.5</v>
      </c>
    </row>
    <row r="81" spans="1:13">
      <c r="A81" s="6" t="s">
        <v>364</v>
      </c>
      <c r="B81" s="1" t="s">
        <v>365</v>
      </c>
      <c r="C81" t="s">
        <v>355</v>
      </c>
      <c r="D81" t="s">
        <v>558</v>
      </c>
      <c r="E81" t="s">
        <v>967</v>
      </c>
      <c r="F81" t="s">
        <v>847</v>
      </c>
      <c r="G81">
        <v>0.28599999999999998</v>
      </c>
      <c r="H81">
        <v>1</v>
      </c>
      <c r="I81">
        <f t="shared" si="2"/>
        <v>0.44479004665629857</v>
      </c>
      <c r="J81">
        <v>0.66700000000000004</v>
      </c>
      <c r="K81">
        <v>1</v>
      </c>
      <c r="L81">
        <v>261</v>
      </c>
      <c r="M81">
        <f t="shared" si="3"/>
        <v>0.8</v>
      </c>
    </row>
    <row r="82" spans="1:13">
      <c r="A82" t="s">
        <v>368</v>
      </c>
      <c r="B82" s="1" t="s">
        <v>369</v>
      </c>
      <c r="C82" t="s">
        <v>370</v>
      </c>
      <c r="D82" t="s">
        <v>559</v>
      </c>
      <c r="E82" t="s">
        <v>968</v>
      </c>
      <c r="F82" t="s">
        <v>847</v>
      </c>
      <c r="G82">
        <v>0.28599999999999998</v>
      </c>
      <c r="H82">
        <v>1</v>
      </c>
      <c r="I82">
        <f t="shared" si="2"/>
        <v>0.44479004665629857</v>
      </c>
      <c r="J82">
        <v>0.6</v>
      </c>
      <c r="K82">
        <v>0.75</v>
      </c>
      <c r="L82">
        <v>233</v>
      </c>
      <c r="M82">
        <f t="shared" si="3"/>
        <v>0.66700000000000004</v>
      </c>
    </row>
    <row r="83" spans="1:13">
      <c r="A83" t="s">
        <v>373</v>
      </c>
      <c r="B83" s="1" t="s">
        <v>374</v>
      </c>
      <c r="C83" t="s">
        <v>375</v>
      </c>
      <c r="D83" t="s">
        <v>561</v>
      </c>
      <c r="E83" t="s">
        <v>562</v>
      </c>
      <c r="F83" t="s">
        <v>45</v>
      </c>
      <c r="G83">
        <v>0.5</v>
      </c>
      <c r="H83">
        <v>0.33300000000000002</v>
      </c>
      <c r="I83">
        <f t="shared" si="2"/>
        <v>0.39975990396158467</v>
      </c>
      <c r="J83">
        <v>0.33300000000000002</v>
      </c>
      <c r="K83">
        <v>0.33300000000000002</v>
      </c>
      <c r="L83">
        <v>209</v>
      </c>
      <c r="M83">
        <f t="shared" si="3"/>
        <v>0.33300000000000002</v>
      </c>
    </row>
    <row r="84" spans="1:13">
      <c r="A84" t="s">
        <v>378</v>
      </c>
      <c r="B84" s="1" t="s">
        <v>230</v>
      </c>
      <c r="C84" t="s">
        <v>379</v>
      </c>
      <c r="D84" t="s">
        <v>969</v>
      </c>
      <c r="E84" t="s">
        <v>970</v>
      </c>
      <c r="F84" t="s">
        <v>705</v>
      </c>
      <c r="G84">
        <v>0.154</v>
      </c>
      <c r="H84">
        <v>1</v>
      </c>
      <c r="I84">
        <f t="shared" si="2"/>
        <v>0.26689774696707108</v>
      </c>
      <c r="J84">
        <v>0.6</v>
      </c>
      <c r="K84">
        <v>0.75</v>
      </c>
      <c r="L84">
        <v>392</v>
      </c>
      <c r="M84">
        <f t="shared" si="3"/>
        <v>0.66700000000000004</v>
      </c>
    </row>
    <row r="85" spans="1:13">
      <c r="A85" t="s">
        <v>382</v>
      </c>
      <c r="B85" s="1" t="s">
        <v>41</v>
      </c>
      <c r="C85" t="s">
        <v>383</v>
      </c>
      <c r="D85" t="s">
        <v>565</v>
      </c>
      <c r="E85" t="s">
        <v>566</v>
      </c>
      <c r="G85">
        <v>0</v>
      </c>
      <c r="H85">
        <v>0</v>
      </c>
      <c r="I85">
        <f t="shared" si="2"/>
        <v>0</v>
      </c>
      <c r="J85">
        <v>0</v>
      </c>
      <c r="K85">
        <v>0</v>
      </c>
      <c r="L85">
        <v>118</v>
      </c>
      <c r="M85">
        <f t="shared" si="3"/>
        <v>0</v>
      </c>
    </row>
    <row r="86" spans="1:13">
      <c r="A86" t="s">
        <v>386</v>
      </c>
      <c r="B86" s="1" t="s">
        <v>70</v>
      </c>
      <c r="C86" t="s">
        <v>387</v>
      </c>
      <c r="D86" t="s">
        <v>567</v>
      </c>
      <c r="E86" t="s">
        <v>568</v>
      </c>
      <c r="F86" t="s">
        <v>51</v>
      </c>
      <c r="G86">
        <v>0.2</v>
      </c>
      <c r="H86">
        <v>0.5</v>
      </c>
      <c r="I86">
        <f t="shared" si="2"/>
        <v>0.28571428571428575</v>
      </c>
      <c r="J86">
        <v>0.75</v>
      </c>
      <c r="K86">
        <v>0.6</v>
      </c>
      <c r="L86">
        <v>230</v>
      </c>
      <c r="M86">
        <f t="shared" si="3"/>
        <v>0.66700000000000004</v>
      </c>
    </row>
    <row r="87" spans="1:13">
      <c r="A87" t="s">
        <v>390</v>
      </c>
      <c r="B87" s="1" t="s">
        <v>41</v>
      </c>
      <c r="C87" t="s">
        <v>391</v>
      </c>
      <c r="D87" t="s">
        <v>569</v>
      </c>
      <c r="E87" t="s">
        <v>393</v>
      </c>
      <c r="F87" t="s">
        <v>705</v>
      </c>
      <c r="G87">
        <v>0.13300000000000001</v>
      </c>
      <c r="H87">
        <v>1</v>
      </c>
      <c r="I87">
        <f t="shared" si="2"/>
        <v>0.23477493380406003</v>
      </c>
      <c r="J87">
        <v>1</v>
      </c>
      <c r="K87">
        <v>0.75</v>
      </c>
      <c r="L87">
        <v>339</v>
      </c>
      <c r="M87">
        <f t="shared" si="3"/>
        <v>0.85699999999999998</v>
      </c>
    </row>
    <row r="88" spans="1:13">
      <c r="A88" t="s">
        <v>394</v>
      </c>
      <c r="B88" s="1" t="s">
        <v>395</v>
      </c>
      <c r="C88" t="s">
        <v>396</v>
      </c>
      <c r="D88" t="s">
        <v>571</v>
      </c>
      <c r="E88" t="s">
        <v>971</v>
      </c>
      <c r="F88" t="s">
        <v>705</v>
      </c>
      <c r="G88">
        <v>0.2</v>
      </c>
      <c r="H88">
        <v>0.33300000000000002</v>
      </c>
      <c r="I88">
        <f t="shared" si="2"/>
        <v>0.24990619136960601</v>
      </c>
      <c r="J88">
        <v>0.6</v>
      </c>
      <c r="K88">
        <v>1</v>
      </c>
      <c r="L88">
        <v>239</v>
      </c>
      <c r="M88">
        <f t="shared" si="3"/>
        <v>0.75</v>
      </c>
    </row>
    <row r="89" spans="1:13">
      <c r="A89" t="s">
        <v>399</v>
      </c>
      <c r="B89" s="1" t="s">
        <v>59</v>
      </c>
      <c r="C89" t="s">
        <v>400</v>
      </c>
      <c r="D89" t="s">
        <v>573</v>
      </c>
      <c r="E89" t="s">
        <v>972</v>
      </c>
      <c r="F89" t="s">
        <v>896</v>
      </c>
      <c r="G89">
        <v>0.14299999999999999</v>
      </c>
      <c r="H89">
        <v>1</v>
      </c>
      <c r="I89">
        <f t="shared" si="2"/>
        <v>0.25021872265966749</v>
      </c>
      <c r="J89">
        <v>0.28599999999999998</v>
      </c>
      <c r="K89">
        <v>1</v>
      </c>
      <c r="L89">
        <v>217</v>
      </c>
      <c r="M89">
        <f t="shared" si="3"/>
        <v>0.44500000000000001</v>
      </c>
    </row>
    <row r="90" spans="1:13">
      <c r="A90" t="s">
        <v>335</v>
      </c>
      <c r="B90" s="1" t="s">
        <v>41</v>
      </c>
      <c r="C90" t="s">
        <v>336</v>
      </c>
      <c r="D90" t="s">
        <v>337</v>
      </c>
      <c r="E90" t="s">
        <v>338</v>
      </c>
      <c r="F90" t="s">
        <v>187</v>
      </c>
      <c r="G90">
        <v>0.1</v>
      </c>
      <c r="H90">
        <v>1</v>
      </c>
      <c r="I90">
        <f t="shared" si="2"/>
        <v>0.18181818181818182</v>
      </c>
      <c r="J90">
        <v>1</v>
      </c>
      <c r="K90">
        <v>0.33300000000000002</v>
      </c>
      <c r="L90">
        <v>398</v>
      </c>
      <c r="M90">
        <f t="shared" si="3"/>
        <v>0.5</v>
      </c>
    </row>
    <row r="91" spans="1:13">
      <c r="A91" t="s">
        <v>403</v>
      </c>
      <c r="B91" s="1" t="s">
        <v>230</v>
      </c>
      <c r="C91" t="s">
        <v>404</v>
      </c>
      <c r="D91" t="s">
        <v>575</v>
      </c>
      <c r="E91" t="s">
        <v>406</v>
      </c>
      <c r="F91" t="s">
        <v>582</v>
      </c>
      <c r="G91">
        <v>9.0999999999999998E-2</v>
      </c>
      <c r="H91">
        <v>0.5</v>
      </c>
      <c r="I91">
        <f t="shared" si="2"/>
        <v>0.15397631133671744</v>
      </c>
      <c r="J91">
        <v>0.5</v>
      </c>
      <c r="K91">
        <v>0.2</v>
      </c>
      <c r="L91">
        <v>281</v>
      </c>
      <c r="M91">
        <f t="shared" si="3"/>
        <v>0.28599999999999998</v>
      </c>
    </row>
    <row r="92" spans="1:13">
      <c r="A92" t="s">
        <v>407</v>
      </c>
      <c r="B92" s="1" t="s">
        <v>35</v>
      </c>
      <c r="C92" t="s">
        <v>408</v>
      </c>
      <c r="D92" t="s">
        <v>418</v>
      </c>
      <c r="E92" t="s">
        <v>703</v>
      </c>
      <c r="F92" t="s">
        <v>582</v>
      </c>
      <c r="G92">
        <v>0.125</v>
      </c>
      <c r="H92">
        <v>1</v>
      </c>
      <c r="I92">
        <f t="shared" si="2"/>
        <v>0.22222222222222221</v>
      </c>
      <c r="J92">
        <v>0.75</v>
      </c>
      <c r="K92">
        <v>1</v>
      </c>
      <c r="L92">
        <v>234</v>
      </c>
      <c r="M92">
        <f t="shared" si="3"/>
        <v>0.85699999999999998</v>
      </c>
    </row>
    <row r="93" spans="1:13">
      <c r="A93" t="s">
        <v>410</v>
      </c>
      <c r="B93" s="1" t="s">
        <v>59</v>
      </c>
      <c r="C93" t="s">
        <v>400</v>
      </c>
      <c r="D93" t="s">
        <v>578</v>
      </c>
      <c r="E93" t="s">
        <v>973</v>
      </c>
      <c r="F93" t="s">
        <v>896</v>
      </c>
      <c r="G93">
        <v>0.125</v>
      </c>
      <c r="H93">
        <v>1</v>
      </c>
      <c r="I93">
        <f t="shared" si="2"/>
        <v>0.22222222222222221</v>
      </c>
      <c r="J93">
        <v>0.4</v>
      </c>
      <c r="K93">
        <v>1</v>
      </c>
      <c r="L93">
        <v>234</v>
      </c>
      <c r="M93">
        <f t="shared" si="3"/>
        <v>0.57099999999999995</v>
      </c>
    </row>
    <row r="94" spans="1:13">
      <c r="A94" t="s">
        <v>413</v>
      </c>
      <c r="B94" s="1" t="s">
        <v>88</v>
      </c>
      <c r="C94" t="s">
        <v>278</v>
      </c>
      <c r="D94" t="s">
        <v>580</v>
      </c>
      <c r="E94" t="s">
        <v>278</v>
      </c>
      <c r="F94" t="s">
        <v>27</v>
      </c>
      <c r="G94">
        <v>0.125</v>
      </c>
      <c r="H94">
        <v>1</v>
      </c>
      <c r="I94">
        <f t="shared" si="2"/>
        <v>0.22222222222222221</v>
      </c>
      <c r="J94">
        <v>1</v>
      </c>
      <c r="K94">
        <v>1</v>
      </c>
      <c r="L94">
        <v>318</v>
      </c>
      <c r="M94">
        <f t="shared" si="3"/>
        <v>1</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4AB88-8ED5-4261-AF3E-104B85E09D6B}">
  <dimension ref="A1:P94"/>
  <sheetViews>
    <sheetView workbookViewId="0">
      <selection activeCell="F8" sqref="F8"/>
    </sheetView>
  </sheetViews>
  <sheetFormatPr defaultRowHeight="18"/>
  <sheetData>
    <row r="1" spans="1:16">
      <c r="A1" t="s">
        <v>9</v>
      </c>
      <c r="B1" t="s">
        <v>10</v>
      </c>
      <c r="C1" t="s">
        <v>11</v>
      </c>
      <c r="D1" t="s">
        <v>12</v>
      </c>
      <c r="E1" t="s">
        <v>13</v>
      </c>
      <c r="F1" t="s">
        <v>14</v>
      </c>
      <c r="G1" t="s">
        <v>15</v>
      </c>
      <c r="H1" t="s">
        <v>16</v>
      </c>
      <c r="I1" t="s">
        <v>17</v>
      </c>
      <c r="J1" t="s">
        <v>18</v>
      </c>
      <c r="K1" t="s">
        <v>19</v>
      </c>
      <c r="L1" t="s">
        <v>20</v>
      </c>
      <c r="M1" t="s">
        <v>21</v>
      </c>
      <c r="N1" t="s">
        <v>1</v>
      </c>
      <c r="O1" t="s">
        <v>2</v>
      </c>
      <c r="P1" s="3" t="s">
        <v>3</v>
      </c>
    </row>
    <row r="2" spans="1:16">
      <c r="A2" t="s">
        <v>22</v>
      </c>
      <c r="B2" s="1" t="s">
        <v>23</v>
      </c>
      <c r="C2" t="s">
        <v>24</v>
      </c>
      <c r="D2" t="s">
        <v>596</v>
      </c>
      <c r="E2" t="s">
        <v>974</v>
      </c>
      <c r="F2" t="s">
        <v>533</v>
      </c>
      <c r="G2">
        <v>0.5</v>
      </c>
      <c r="H2">
        <v>0.5</v>
      </c>
      <c r="I2">
        <f t="shared" ref="I2:I65" si="0">IF(G2+H2=0,0,2*G2*H2/(G2+H2))</f>
        <v>0.5</v>
      </c>
      <c r="J2">
        <v>1</v>
      </c>
      <c r="K2">
        <v>0.66700000000000004</v>
      </c>
      <c r="L2">
        <v>129</v>
      </c>
      <c r="M2">
        <f t="shared" ref="M2:M65" si="1">IF(J2+K2=0,0,ROUND(2*J2*K2/(J2+K2),3))</f>
        <v>0.8</v>
      </c>
      <c r="N2" s="3">
        <f>ROUND(AVERAGE(J2:J94),3)</f>
        <v>0.39500000000000002</v>
      </c>
      <c r="O2" s="3">
        <f>ROUND(AVERAGE(K2:K94),3)</f>
        <v>0.496</v>
      </c>
      <c r="P2" s="3">
        <f>SUM(M2:M94)/93</f>
        <v>0.40022580645161276</v>
      </c>
    </row>
    <row r="3" spans="1:16">
      <c r="A3" t="s">
        <v>28</v>
      </c>
      <c r="B3" s="1" t="s">
        <v>29</v>
      </c>
      <c r="C3" t="s">
        <v>30</v>
      </c>
      <c r="D3" t="s">
        <v>598</v>
      </c>
      <c r="E3" t="s">
        <v>975</v>
      </c>
      <c r="F3" t="s">
        <v>788</v>
      </c>
      <c r="G3">
        <v>0.66700000000000004</v>
      </c>
      <c r="H3">
        <v>1</v>
      </c>
      <c r="I3">
        <f t="shared" si="0"/>
        <v>0.80023995200959808</v>
      </c>
      <c r="J3">
        <v>0.83299999999999996</v>
      </c>
      <c r="K3">
        <v>1</v>
      </c>
      <c r="L3">
        <v>192</v>
      </c>
      <c r="M3">
        <f t="shared" si="1"/>
        <v>0.90900000000000003</v>
      </c>
      <c r="P3" s="3"/>
    </row>
    <row r="4" spans="1:16">
      <c r="A4" t="s">
        <v>34</v>
      </c>
      <c r="B4" s="1" t="s">
        <v>35</v>
      </c>
      <c r="C4" t="s">
        <v>36</v>
      </c>
      <c r="D4" t="s">
        <v>565</v>
      </c>
      <c r="E4" t="s">
        <v>976</v>
      </c>
      <c r="F4" t="s">
        <v>39</v>
      </c>
      <c r="G4">
        <v>0</v>
      </c>
      <c r="H4">
        <v>0</v>
      </c>
      <c r="I4">
        <f t="shared" si="0"/>
        <v>0</v>
      </c>
      <c r="J4">
        <v>0.16700000000000001</v>
      </c>
      <c r="K4">
        <v>0.33300000000000002</v>
      </c>
      <c r="L4">
        <v>116</v>
      </c>
      <c r="M4">
        <f t="shared" si="1"/>
        <v>0.222</v>
      </c>
    </row>
    <row r="5" spans="1:16">
      <c r="A5" t="s">
        <v>40</v>
      </c>
      <c r="B5" s="1" t="s">
        <v>41</v>
      </c>
      <c r="C5" t="s">
        <v>42</v>
      </c>
      <c r="D5" t="s">
        <v>96</v>
      </c>
      <c r="E5" t="s">
        <v>273</v>
      </c>
      <c r="F5" t="s">
        <v>45</v>
      </c>
      <c r="G5">
        <v>0</v>
      </c>
      <c r="H5">
        <v>0</v>
      </c>
      <c r="I5">
        <f t="shared" si="0"/>
        <v>0</v>
      </c>
      <c r="J5">
        <v>1</v>
      </c>
      <c r="K5">
        <v>0.5</v>
      </c>
      <c r="L5">
        <v>169</v>
      </c>
      <c r="M5">
        <f t="shared" si="1"/>
        <v>0.66700000000000004</v>
      </c>
      <c r="N5" s="3">
        <f>ROUND(AVERAGE(G2:G94),3)</f>
        <v>0.309</v>
      </c>
      <c r="O5" s="3">
        <f>ROUND(AVERAGE(H2:H94),3)</f>
        <v>0.36899999999999999</v>
      </c>
      <c r="P5" s="3">
        <f>ROUND(AVERAGE(I2:I94),3)</f>
        <v>0.308</v>
      </c>
    </row>
    <row r="6" spans="1:16">
      <c r="A6" t="s">
        <v>46</v>
      </c>
      <c r="B6" s="1" t="s">
        <v>47</v>
      </c>
      <c r="C6" t="s">
        <v>48</v>
      </c>
      <c r="D6" t="s">
        <v>565</v>
      </c>
      <c r="E6" t="s">
        <v>977</v>
      </c>
      <c r="G6">
        <v>0</v>
      </c>
      <c r="H6">
        <v>0</v>
      </c>
      <c r="I6">
        <f t="shared" si="0"/>
        <v>0</v>
      </c>
      <c r="J6">
        <v>0</v>
      </c>
      <c r="K6">
        <v>0</v>
      </c>
      <c r="L6">
        <v>123</v>
      </c>
      <c r="M6">
        <f t="shared" si="1"/>
        <v>0</v>
      </c>
      <c r="O6" t="s">
        <v>52</v>
      </c>
    </row>
    <row r="7" spans="1:16">
      <c r="A7" t="s">
        <v>53</v>
      </c>
      <c r="B7" s="1" t="s">
        <v>54</v>
      </c>
      <c r="C7" t="s">
        <v>55</v>
      </c>
      <c r="D7" t="s">
        <v>35</v>
      </c>
      <c r="E7" t="s">
        <v>978</v>
      </c>
      <c r="F7" t="s">
        <v>39</v>
      </c>
      <c r="G7">
        <v>1</v>
      </c>
      <c r="H7">
        <v>0.5</v>
      </c>
      <c r="I7">
        <f t="shared" si="0"/>
        <v>0.66666666666666663</v>
      </c>
      <c r="J7">
        <v>1</v>
      </c>
      <c r="K7">
        <v>0.4</v>
      </c>
      <c r="L7">
        <v>131</v>
      </c>
      <c r="M7">
        <f t="shared" si="1"/>
        <v>0.57099999999999995</v>
      </c>
      <c r="O7" s="4">
        <f>AVERAGE(L2:L94)</f>
        <v>155.86021505376345</v>
      </c>
    </row>
    <row r="8" spans="1:16">
      <c r="A8" t="s">
        <v>58</v>
      </c>
      <c r="B8" s="1" t="s">
        <v>59</v>
      </c>
      <c r="C8" t="s">
        <v>60</v>
      </c>
      <c r="D8" t="s">
        <v>59</v>
      </c>
      <c r="E8" t="s">
        <v>979</v>
      </c>
      <c r="F8" t="s">
        <v>424</v>
      </c>
      <c r="G8">
        <v>1</v>
      </c>
      <c r="H8">
        <v>1</v>
      </c>
      <c r="I8">
        <f t="shared" si="0"/>
        <v>1</v>
      </c>
      <c r="J8">
        <v>0.5</v>
      </c>
      <c r="K8">
        <v>0.5</v>
      </c>
      <c r="L8">
        <v>132</v>
      </c>
      <c r="M8">
        <f t="shared" si="1"/>
        <v>0.5</v>
      </c>
      <c r="O8" t="s">
        <v>63</v>
      </c>
    </row>
    <row r="9" spans="1:16">
      <c r="A9" t="s">
        <v>64</v>
      </c>
      <c r="B9" s="1" t="s">
        <v>65</v>
      </c>
      <c r="C9" t="s">
        <v>66</v>
      </c>
      <c r="D9" t="s">
        <v>487</v>
      </c>
      <c r="E9" t="s">
        <v>980</v>
      </c>
      <c r="F9" t="s">
        <v>122</v>
      </c>
      <c r="G9">
        <v>1</v>
      </c>
      <c r="H9">
        <v>0.33300000000000002</v>
      </c>
      <c r="I9">
        <f t="shared" si="0"/>
        <v>0.4996249062265567</v>
      </c>
      <c r="J9">
        <v>0.5</v>
      </c>
      <c r="K9">
        <v>1</v>
      </c>
      <c r="L9">
        <v>138</v>
      </c>
      <c r="M9">
        <f t="shared" si="1"/>
        <v>0.66700000000000004</v>
      </c>
      <c r="O9" s="3">
        <f>_xlfn.STDEV.P(L2:L94)</f>
        <v>41.602210290187955</v>
      </c>
    </row>
    <row r="10" spans="1:16">
      <c r="A10" t="s">
        <v>69</v>
      </c>
      <c r="B10" s="1" t="s">
        <v>70</v>
      </c>
      <c r="C10" t="s">
        <v>71</v>
      </c>
      <c r="D10" t="s">
        <v>565</v>
      </c>
      <c r="E10" t="s">
        <v>981</v>
      </c>
      <c r="F10" t="s">
        <v>783</v>
      </c>
      <c r="G10">
        <v>0</v>
      </c>
      <c r="H10">
        <v>0</v>
      </c>
      <c r="I10">
        <f t="shared" si="0"/>
        <v>0</v>
      </c>
      <c r="J10">
        <v>0.25</v>
      </c>
      <c r="K10">
        <v>1</v>
      </c>
      <c r="L10">
        <v>118</v>
      </c>
      <c r="M10">
        <f t="shared" si="1"/>
        <v>0.4</v>
      </c>
    </row>
    <row r="11" spans="1:16">
      <c r="A11" t="s">
        <v>75</v>
      </c>
      <c r="B11" s="1" t="s">
        <v>76</v>
      </c>
      <c r="C11" t="s">
        <v>77</v>
      </c>
      <c r="D11" t="s">
        <v>565</v>
      </c>
      <c r="E11" t="s">
        <v>982</v>
      </c>
      <c r="G11">
        <v>0</v>
      </c>
      <c r="H11">
        <v>0</v>
      </c>
      <c r="I11">
        <f t="shared" si="0"/>
        <v>0</v>
      </c>
      <c r="J11">
        <v>0</v>
      </c>
      <c r="K11">
        <v>0</v>
      </c>
      <c r="L11">
        <v>109</v>
      </c>
      <c r="M11">
        <f t="shared" si="1"/>
        <v>0</v>
      </c>
    </row>
    <row r="12" spans="1:16">
      <c r="A12" t="s">
        <v>81</v>
      </c>
      <c r="B12" s="1" t="s">
        <v>70</v>
      </c>
      <c r="C12" t="s">
        <v>71</v>
      </c>
      <c r="D12" t="s">
        <v>565</v>
      </c>
      <c r="E12" t="s">
        <v>983</v>
      </c>
      <c r="F12" t="s">
        <v>797</v>
      </c>
      <c r="G12">
        <v>0</v>
      </c>
      <c r="H12">
        <v>0</v>
      </c>
      <c r="I12">
        <f t="shared" si="0"/>
        <v>0</v>
      </c>
      <c r="J12">
        <v>9.0999999999999998E-2</v>
      </c>
      <c r="K12">
        <v>0.5</v>
      </c>
      <c r="L12">
        <v>124</v>
      </c>
      <c r="M12">
        <f t="shared" si="1"/>
        <v>0.154</v>
      </c>
    </row>
    <row r="13" spans="1:16">
      <c r="A13" t="s">
        <v>83</v>
      </c>
      <c r="B13" s="1" t="s">
        <v>41</v>
      </c>
      <c r="C13" t="s">
        <v>84</v>
      </c>
      <c r="D13" t="s">
        <v>183</v>
      </c>
      <c r="E13" t="s">
        <v>597</v>
      </c>
      <c r="F13" t="s">
        <v>533</v>
      </c>
      <c r="G13">
        <v>0</v>
      </c>
      <c r="H13">
        <v>0</v>
      </c>
      <c r="I13">
        <f t="shared" si="0"/>
        <v>0</v>
      </c>
      <c r="J13">
        <v>0</v>
      </c>
      <c r="K13">
        <v>0</v>
      </c>
      <c r="L13">
        <v>112</v>
      </c>
      <c r="M13">
        <f t="shared" si="1"/>
        <v>0</v>
      </c>
    </row>
    <row r="14" spans="1:16">
      <c r="A14" t="s">
        <v>87</v>
      </c>
      <c r="B14" s="1" t="s">
        <v>88</v>
      </c>
      <c r="C14" t="s">
        <v>89</v>
      </c>
      <c r="D14" t="s">
        <v>565</v>
      </c>
      <c r="E14" t="s">
        <v>984</v>
      </c>
      <c r="F14" t="s">
        <v>797</v>
      </c>
      <c r="G14">
        <v>0</v>
      </c>
      <c r="H14">
        <v>0</v>
      </c>
      <c r="I14">
        <f t="shared" si="0"/>
        <v>0</v>
      </c>
      <c r="J14">
        <v>0.25</v>
      </c>
      <c r="K14">
        <v>0.4</v>
      </c>
      <c r="L14">
        <v>117</v>
      </c>
      <c r="M14">
        <f t="shared" si="1"/>
        <v>0.308</v>
      </c>
    </row>
    <row r="15" spans="1:16">
      <c r="A15" t="s">
        <v>92</v>
      </c>
      <c r="B15" s="1" t="s">
        <v>93</v>
      </c>
      <c r="C15" t="s">
        <v>30</v>
      </c>
      <c r="D15" t="s">
        <v>598</v>
      </c>
      <c r="E15" t="s">
        <v>985</v>
      </c>
      <c r="F15" t="s">
        <v>417</v>
      </c>
      <c r="G15">
        <v>0.66700000000000004</v>
      </c>
      <c r="H15">
        <v>1</v>
      </c>
      <c r="I15">
        <f t="shared" si="0"/>
        <v>0.80023995200959808</v>
      </c>
      <c r="J15">
        <v>0.5</v>
      </c>
      <c r="K15">
        <v>0.8</v>
      </c>
      <c r="L15">
        <v>198</v>
      </c>
      <c r="M15">
        <f t="shared" si="1"/>
        <v>0.61499999999999999</v>
      </c>
    </row>
    <row r="16" spans="1:16">
      <c r="A16" t="s">
        <v>95</v>
      </c>
      <c r="B16" s="1" t="s">
        <v>96</v>
      </c>
      <c r="C16" t="s">
        <v>97</v>
      </c>
      <c r="D16" t="s">
        <v>608</v>
      </c>
      <c r="E16" t="s">
        <v>986</v>
      </c>
      <c r="F16" t="s">
        <v>417</v>
      </c>
      <c r="G16">
        <v>0.25</v>
      </c>
      <c r="H16">
        <v>1</v>
      </c>
      <c r="I16">
        <f t="shared" si="0"/>
        <v>0.4</v>
      </c>
      <c r="J16">
        <v>0.66700000000000004</v>
      </c>
      <c r="K16">
        <v>0.66700000000000004</v>
      </c>
      <c r="L16">
        <v>233</v>
      </c>
      <c r="M16">
        <f t="shared" si="1"/>
        <v>0.66700000000000004</v>
      </c>
    </row>
    <row r="17" spans="1:13">
      <c r="A17" t="s">
        <v>100</v>
      </c>
      <c r="B17" s="1" t="s">
        <v>41</v>
      </c>
      <c r="C17" t="s">
        <v>101</v>
      </c>
      <c r="D17" t="s">
        <v>565</v>
      </c>
      <c r="E17" t="s">
        <v>987</v>
      </c>
      <c r="G17">
        <v>0</v>
      </c>
      <c r="H17">
        <v>0</v>
      </c>
      <c r="I17">
        <f t="shared" si="0"/>
        <v>0</v>
      </c>
      <c r="J17">
        <v>0</v>
      </c>
      <c r="K17">
        <v>0</v>
      </c>
      <c r="L17">
        <v>130</v>
      </c>
      <c r="M17">
        <f t="shared" si="1"/>
        <v>0</v>
      </c>
    </row>
    <row r="18" spans="1:13">
      <c r="A18" t="s">
        <v>104</v>
      </c>
      <c r="B18" s="1" t="s">
        <v>41</v>
      </c>
      <c r="C18" t="s">
        <v>105</v>
      </c>
      <c r="D18" t="s">
        <v>611</v>
      </c>
      <c r="E18" t="s">
        <v>988</v>
      </c>
      <c r="F18" t="s">
        <v>788</v>
      </c>
      <c r="G18">
        <v>0.5</v>
      </c>
      <c r="H18">
        <v>0.5</v>
      </c>
      <c r="I18">
        <f t="shared" si="0"/>
        <v>0.5</v>
      </c>
      <c r="J18">
        <v>0.2</v>
      </c>
      <c r="K18">
        <v>0.5</v>
      </c>
      <c r="L18">
        <v>188</v>
      </c>
      <c r="M18">
        <f t="shared" si="1"/>
        <v>0.28599999999999998</v>
      </c>
    </row>
    <row r="19" spans="1:13">
      <c r="A19" t="s">
        <v>108</v>
      </c>
      <c r="B19" s="1" t="s">
        <v>109</v>
      </c>
      <c r="C19" t="s">
        <v>110</v>
      </c>
      <c r="D19" t="s">
        <v>565</v>
      </c>
      <c r="E19" t="s">
        <v>989</v>
      </c>
      <c r="F19" t="s">
        <v>442</v>
      </c>
      <c r="G19">
        <v>0</v>
      </c>
      <c r="H19">
        <v>0</v>
      </c>
      <c r="I19">
        <f t="shared" si="0"/>
        <v>0</v>
      </c>
      <c r="J19">
        <v>0.2</v>
      </c>
      <c r="K19">
        <v>0.5</v>
      </c>
      <c r="L19">
        <v>130</v>
      </c>
      <c r="M19">
        <f t="shared" si="1"/>
        <v>0.28599999999999998</v>
      </c>
    </row>
    <row r="20" spans="1:13">
      <c r="A20" t="s">
        <v>113</v>
      </c>
      <c r="B20" s="1" t="s">
        <v>114</v>
      </c>
      <c r="C20" t="s">
        <v>60</v>
      </c>
      <c r="D20" t="s">
        <v>59</v>
      </c>
      <c r="E20" t="s">
        <v>614</v>
      </c>
      <c r="F20" t="s">
        <v>39</v>
      </c>
      <c r="G20">
        <v>1</v>
      </c>
      <c r="H20">
        <v>0.5</v>
      </c>
      <c r="I20">
        <f t="shared" si="0"/>
        <v>0.66666666666666663</v>
      </c>
      <c r="J20">
        <v>0.33300000000000002</v>
      </c>
      <c r="K20">
        <v>0.5</v>
      </c>
      <c r="L20">
        <v>130</v>
      </c>
      <c r="M20">
        <f t="shared" si="1"/>
        <v>0.4</v>
      </c>
    </row>
    <row r="21" spans="1:13">
      <c r="A21" t="s">
        <v>117</v>
      </c>
      <c r="B21" s="1" t="s">
        <v>118</v>
      </c>
      <c r="C21" t="s">
        <v>119</v>
      </c>
      <c r="D21" t="s">
        <v>585</v>
      </c>
      <c r="E21" t="s">
        <v>990</v>
      </c>
      <c r="F21" t="s">
        <v>122</v>
      </c>
      <c r="G21">
        <v>0.5</v>
      </c>
      <c r="H21">
        <v>1</v>
      </c>
      <c r="I21">
        <f t="shared" si="0"/>
        <v>0.66666666666666663</v>
      </c>
      <c r="J21">
        <v>1</v>
      </c>
      <c r="K21">
        <v>0.8</v>
      </c>
      <c r="L21">
        <v>153</v>
      </c>
      <c r="M21">
        <f t="shared" si="1"/>
        <v>0.88900000000000001</v>
      </c>
    </row>
    <row r="22" spans="1:13">
      <c r="A22" t="s">
        <v>123</v>
      </c>
      <c r="B22" s="1" t="s">
        <v>124</v>
      </c>
      <c r="C22" t="s">
        <v>125</v>
      </c>
      <c r="D22" t="s">
        <v>595</v>
      </c>
      <c r="E22" t="s">
        <v>457</v>
      </c>
      <c r="F22" t="s">
        <v>39</v>
      </c>
      <c r="G22">
        <v>0</v>
      </c>
      <c r="H22">
        <v>0</v>
      </c>
      <c r="I22">
        <f t="shared" si="0"/>
        <v>0</v>
      </c>
      <c r="J22">
        <v>1</v>
      </c>
      <c r="K22">
        <v>0.75</v>
      </c>
      <c r="L22">
        <v>174</v>
      </c>
      <c r="M22">
        <f t="shared" si="1"/>
        <v>0.85699999999999998</v>
      </c>
    </row>
    <row r="23" spans="1:13">
      <c r="A23" t="s">
        <v>128</v>
      </c>
      <c r="B23" s="1" t="s">
        <v>88</v>
      </c>
      <c r="C23" t="s">
        <v>129</v>
      </c>
      <c r="D23" t="s">
        <v>617</v>
      </c>
      <c r="E23" t="s">
        <v>991</v>
      </c>
      <c r="F23" t="s">
        <v>39</v>
      </c>
      <c r="G23">
        <v>0</v>
      </c>
      <c r="H23">
        <v>0</v>
      </c>
      <c r="I23">
        <f t="shared" si="0"/>
        <v>0</v>
      </c>
      <c r="J23">
        <v>0</v>
      </c>
      <c r="K23">
        <v>0</v>
      </c>
      <c r="L23">
        <v>213</v>
      </c>
      <c r="M23">
        <f t="shared" si="1"/>
        <v>0</v>
      </c>
    </row>
    <row r="24" spans="1:13">
      <c r="A24" t="s">
        <v>131</v>
      </c>
      <c r="B24" s="1" t="s">
        <v>41</v>
      </c>
      <c r="C24" t="s">
        <v>132</v>
      </c>
      <c r="D24" t="s">
        <v>619</v>
      </c>
      <c r="E24" t="s">
        <v>992</v>
      </c>
      <c r="F24" t="s">
        <v>788</v>
      </c>
      <c r="G24">
        <v>0.33300000000000002</v>
      </c>
      <c r="H24">
        <v>0.5</v>
      </c>
      <c r="I24">
        <f t="shared" si="0"/>
        <v>0.39975990396158467</v>
      </c>
      <c r="J24">
        <v>0</v>
      </c>
      <c r="K24">
        <v>0</v>
      </c>
      <c r="L24">
        <v>228</v>
      </c>
      <c r="M24">
        <f t="shared" si="1"/>
        <v>0</v>
      </c>
    </row>
    <row r="25" spans="1:13">
      <c r="A25" t="s">
        <v>135</v>
      </c>
      <c r="B25" s="1" t="s">
        <v>136</v>
      </c>
      <c r="C25" t="s">
        <v>137</v>
      </c>
      <c r="D25" t="s">
        <v>583</v>
      </c>
      <c r="E25" t="s">
        <v>993</v>
      </c>
      <c r="F25" t="s">
        <v>797</v>
      </c>
      <c r="G25">
        <v>1</v>
      </c>
      <c r="H25">
        <v>0.33300000000000002</v>
      </c>
      <c r="I25">
        <f t="shared" si="0"/>
        <v>0.4996249062265567</v>
      </c>
      <c r="J25">
        <v>0.33300000000000002</v>
      </c>
      <c r="K25">
        <v>0.16700000000000001</v>
      </c>
      <c r="L25">
        <v>147</v>
      </c>
      <c r="M25">
        <f t="shared" si="1"/>
        <v>0.222</v>
      </c>
    </row>
    <row r="26" spans="1:13">
      <c r="A26" t="s">
        <v>140</v>
      </c>
      <c r="B26" s="1" t="s">
        <v>41</v>
      </c>
      <c r="C26" t="s">
        <v>71</v>
      </c>
      <c r="D26" t="s">
        <v>565</v>
      </c>
      <c r="E26" t="s">
        <v>994</v>
      </c>
      <c r="F26" t="s">
        <v>783</v>
      </c>
      <c r="G26">
        <v>0</v>
      </c>
      <c r="H26">
        <v>0</v>
      </c>
      <c r="I26">
        <f t="shared" si="0"/>
        <v>0</v>
      </c>
      <c r="J26">
        <v>0.33300000000000002</v>
      </c>
      <c r="K26">
        <v>1</v>
      </c>
      <c r="L26">
        <v>116</v>
      </c>
      <c r="M26">
        <f t="shared" si="1"/>
        <v>0.5</v>
      </c>
    </row>
    <row r="27" spans="1:13">
      <c r="A27" t="s">
        <v>142</v>
      </c>
      <c r="B27" s="1" t="s">
        <v>143</v>
      </c>
      <c r="C27" t="s">
        <v>144</v>
      </c>
      <c r="D27" t="s">
        <v>565</v>
      </c>
      <c r="E27" t="s">
        <v>995</v>
      </c>
      <c r="G27">
        <v>0</v>
      </c>
      <c r="H27">
        <v>0</v>
      </c>
      <c r="I27">
        <f t="shared" si="0"/>
        <v>0</v>
      </c>
      <c r="J27">
        <v>0</v>
      </c>
      <c r="K27">
        <v>0</v>
      </c>
      <c r="L27">
        <v>145</v>
      </c>
      <c r="M27">
        <f t="shared" si="1"/>
        <v>0</v>
      </c>
    </row>
    <row r="28" spans="1:13">
      <c r="A28" t="s">
        <v>147</v>
      </c>
      <c r="B28" s="1" t="s">
        <v>88</v>
      </c>
      <c r="C28" t="s">
        <v>148</v>
      </c>
      <c r="D28" t="s">
        <v>565</v>
      </c>
      <c r="E28" t="s">
        <v>996</v>
      </c>
      <c r="F28" t="s">
        <v>707</v>
      </c>
      <c r="G28">
        <v>0</v>
      </c>
      <c r="H28">
        <v>0</v>
      </c>
      <c r="I28">
        <f t="shared" si="0"/>
        <v>0</v>
      </c>
      <c r="J28">
        <v>0.4</v>
      </c>
      <c r="K28">
        <v>1</v>
      </c>
      <c r="L28">
        <v>107</v>
      </c>
      <c r="M28">
        <f t="shared" si="1"/>
        <v>0.57099999999999995</v>
      </c>
    </row>
    <row r="29" spans="1:13">
      <c r="A29" t="s">
        <v>151</v>
      </c>
      <c r="B29" s="1" t="s">
        <v>88</v>
      </c>
      <c r="C29" t="s">
        <v>152</v>
      </c>
      <c r="D29" t="s">
        <v>625</v>
      </c>
      <c r="E29" t="s">
        <v>997</v>
      </c>
      <c r="F29" t="s">
        <v>783</v>
      </c>
      <c r="G29">
        <v>0</v>
      </c>
      <c r="H29">
        <v>0</v>
      </c>
      <c r="I29">
        <f t="shared" si="0"/>
        <v>0</v>
      </c>
      <c r="J29">
        <v>0</v>
      </c>
      <c r="K29">
        <v>0</v>
      </c>
      <c r="L29">
        <v>188</v>
      </c>
      <c r="M29">
        <f t="shared" si="1"/>
        <v>0</v>
      </c>
    </row>
    <row r="30" spans="1:13">
      <c r="A30" t="s">
        <v>155</v>
      </c>
      <c r="B30" s="1" t="s">
        <v>156</v>
      </c>
      <c r="C30" t="s">
        <v>157</v>
      </c>
      <c r="D30" t="s">
        <v>627</v>
      </c>
      <c r="E30" t="s">
        <v>998</v>
      </c>
      <c r="F30" t="s">
        <v>797</v>
      </c>
      <c r="G30">
        <v>0.75</v>
      </c>
      <c r="H30">
        <v>1</v>
      </c>
      <c r="I30">
        <f t="shared" si="0"/>
        <v>0.8571428571428571</v>
      </c>
      <c r="J30">
        <v>0.33300000000000002</v>
      </c>
      <c r="K30">
        <v>1</v>
      </c>
      <c r="L30">
        <v>260</v>
      </c>
      <c r="M30">
        <f t="shared" si="1"/>
        <v>0.5</v>
      </c>
    </row>
    <row r="31" spans="1:13">
      <c r="A31" t="s">
        <v>160</v>
      </c>
      <c r="B31" s="1" t="s">
        <v>156</v>
      </c>
      <c r="C31" t="s">
        <v>161</v>
      </c>
      <c r="D31" t="s">
        <v>629</v>
      </c>
      <c r="E31" t="s">
        <v>999</v>
      </c>
      <c r="F31" t="s">
        <v>797</v>
      </c>
      <c r="G31">
        <v>0.5</v>
      </c>
      <c r="H31">
        <v>0.33300000000000002</v>
      </c>
      <c r="I31">
        <f t="shared" si="0"/>
        <v>0.39975990396158467</v>
      </c>
      <c r="J31">
        <v>0</v>
      </c>
      <c r="K31">
        <v>0</v>
      </c>
      <c r="L31">
        <v>163</v>
      </c>
      <c r="M31">
        <f t="shared" si="1"/>
        <v>0</v>
      </c>
    </row>
    <row r="32" spans="1:13">
      <c r="A32" t="s">
        <v>164</v>
      </c>
      <c r="B32" s="1" t="s">
        <v>165</v>
      </c>
      <c r="C32" t="s">
        <v>166</v>
      </c>
      <c r="D32" t="s">
        <v>631</v>
      </c>
      <c r="E32" t="s">
        <v>1000</v>
      </c>
      <c r="F32" t="s">
        <v>122</v>
      </c>
      <c r="G32">
        <v>0.5</v>
      </c>
      <c r="H32">
        <v>0.33300000000000002</v>
      </c>
      <c r="I32">
        <f t="shared" si="0"/>
        <v>0.39975990396158467</v>
      </c>
      <c r="J32">
        <v>0.28599999999999998</v>
      </c>
      <c r="K32">
        <v>0.4</v>
      </c>
      <c r="L32">
        <v>153</v>
      </c>
      <c r="M32">
        <f t="shared" si="1"/>
        <v>0.33400000000000002</v>
      </c>
    </row>
    <row r="33" spans="1:13">
      <c r="A33" s="6" t="s">
        <v>169</v>
      </c>
      <c r="B33" s="1" t="s">
        <v>170</v>
      </c>
      <c r="C33" t="s">
        <v>171</v>
      </c>
      <c r="D33" t="s">
        <v>565</v>
      </c>
      <c r="E33" t="s">
        <v>1001</v>
      </c>
      <c r="F33" t="s">
        <v>442</v>
      </c>
      <c r="G33">
        <v>0</v>
      </c>
      <c r="H33">
        <v>0</v>
      </c>
      <c r="I33">
        <f t="shared" si="0"/>
        <v>0</v>
      </c>
      <c r="J33">
        <v>0.28599999999999998</v>
      </c>
      <c r="K33">
        <v>0.4</v>
      </c>
      <c r="L33">
        <v>116</v>
      </c>
      <c r="M33">
        <f t="shared" si="1"/>
        <v>0.33400000000000002</v>
      </c>
    </row>
    <row r="34" spans="1:13">
      <c r="A34" t="s">
        <v>174</v>
      </c>
      <c r="B34" s="1" t="s">
        <v>118</v>
      </c>
      <c r="C34" t="s">
        <v>175</v>
      </c>
      <c r="D34" t="s">
        <v>635</v>
      </c>
      <c r="E34" t="s">
        <v>1002</v>
      </c>
      <c r="F34" t="s">
        <v>122</v>
      </c>
      <c r="G34">
        <v>0.5</v>
      </c>
      <c r="H34">
        <v>1</v>
      </c>
      <c r="I34">
        <f t="shared" si="0"/>
        <v>0.66666666666666663</v>
      </c>
      <c r="J34">
        <v>0.375</v>
      </c>
      <c r="K34">
        <v>0.6</v>
      </c>
      <c r="L34">
        <v>198</v>
      </c>
      <c r="M34">
        <f t="shared" si="1"/>
        <v>0.46200000000000002</v>
      </c>
    </row>
    <row r="35" spans="1:13">
      <c r="A35" t="s">
        <v>178</v>
      </c>
      <c r="B35" s="1" t="s">
        <v>29</v>
      </c>
      <c r="C35" t="s">
        <v>179</v>
      </c>
      <c r="D35" t="s">
        <v>586</v>
      </c>
      <c r="E35" t="s">
        <v>1003</v>
      </c>
      <c r="F35" t="s">
        <v>417</v>
      </c>
      <c r="G35">
        <v>0.66700000000000004</v>
      </c>
      <c r="H35">
        <v>1</v>
      </c>
      <c r="I35">
        <f t="shared" si="0"/>
        <v>0.80023995200959808</v>
      </c>
      <c r="J35">
        <v>0.46200000000000002</v>
      </c>
      <c r="K35">
        <v>1</v>
      </c>
      <c r="L35">
        <v>210</v>
      </c>
      <c r="M35">
        <f t="shared" si="1"/>
        <v>0.63200000000000001</v>
      </c>
    </row>
    <row r="36" spans="1:13">
      <c r="A36" t="s">
        <v>182</v>
      </c>
      <c r="B36" s="1" t="s">
        <v>183</v>
      </c>
      <c r="C36" t="s">
        <v>184</v>
      </c>
      <c r="D36" t="s">
        <v>638</v>
      </c>
      <c r="E36" t="s">
        <v>1004</v>
      </c>
      <c r="F36" t="s">
        <v>39</v>
      </c>
      <c r="G36">
        <v>0.2</v>
      </c>
      <c r="H36">
        <v>1</v>
      </c>
      <c r="I36">
        <f t="shared" si="0"/>
        <v>0.33333333333333337</v>
      </c>
      <c r="J36">
        <v>0.14299999999999999</v>
      </c>
      <c r="K36">
        <v>1</v>
      </c>
      <c r="L36">
        <v>232</v>
      </c>
      <c r="M36">
        <f t="shared" si="1"/>
        <v>0.25</v>
      </c>
    </row>
    <row r="37" spans="1:13">
      <c r="A37" t="s">
        <v>188</v>
      </c>
      <c r="B37" s="1" t="s">
        <v>189</v>
      </c>
      <c r="C37" t="s">
        <v>190</v>
      </c>
      <c r="D37" t="s">
        <v>1005</v>
      </c>
      <c r="E37" t="s">
        <v>1006</v>
      </c>
      <c r="F37" t="s">
        <v>45</v>
      </c>
      <c r="G37">
        <v>0.5</v>
      </c>
      <c r="H37">
        <v>1</v>
      </c>
      <c r="I37">
        <f t="shared" si="0"/>
        <v>0.66666666666666663</v>
      </c>
      <c r="J37">
        <v>0.5</v>
      </c>
      <c r="K37">
        <v>0.5</v>
      </c>
      <c r="L37">
        <v>232</v>
      </c>
      <c r="M37">
        <f t="shared" si="1"/>
        <v>0.5</v>
      </c>
    </row>
    <row r="38" spans="1:13">
      <c r="A38" t="s">
        <v>193</v>
      </c>
      <c r="B38" s="1" t="s">
        <v>88</v>
      </c>
      <c r="C38" t="s">
        <v>194</v>
      </c>
      <c r="D38" t="s">
        <v>565</v>
      </c>
      <c r="E38" t="s">
        <v>1007</v>
      </c>
      <c r="F38" t="s">
        <v>774</v>
      </c>
      <c r="G38">
        <v>0</v>
      </c>
      <c r="H38">
        <v>0</v>
      </c>
      <c r="I38">
        <f t="shared" si="0"/>
        <v>0</v>
      </c>
      <c r="J38">
        <v>0.2</v>
      </c>
      <c r="K38">
        <v>0.66700000000000004</v>
      </c>
      <c r="L38">
        <v>135</v>
      </c>
      <c r="M38">
        <f t="shared" si="1"/>
        <v>0.308</v>
      </c>
    </row>
    <row r="39" spans="1:13">
      <c r="A39" t="s">
        <v>197</v>
      </c>
      <c r="B39" s="1" t="s">
        <v>198</v>
      </c>
      <c r="C39" t="s">
        <v>199</v>
      </c>
      <c r="D39" t="s">
        <v>565</v>
      </c>
      <c r="E39" t="s">
        <v>1008</v>
      </c>
      <c r="G39">
        <v>0</v>
      </c>
      <c r="H39">
        <v>0</v>
      </c>
      <c r="I39">
        <f t="shared" si="0"/>
        <v>0</v>
      </c>
      <c r="J39">
        <v>0</v>
      </c>
      <c r="K39">
        <v>0</v>
      </c>
      <c r="L39">
        <v>104</v>
      </c>
      <c r="M39">
        <f t="shared" si="1"/>
        <v>0</v>
      </c>
    </row>
    <row r="40" spans="1:13">
      <c r="A40" t="s">
        <v>202</v>
      </c>
      <c r="B40" s="1" t="s">
        <v>203</v>
      </c>
      <c r="C40" t="s">
        <v>204</v>
      </c>
      <c r="D40" t="s">
        <v>203</v>
      </c>
      <c r="E40" t="s">
        <v>1009</v>
      </c>
      <c r="F40" t="s">
        <v>795</v>
      </c>
      <c r="G40">
        <v>1</v>
      </c>
      <c r="H40">
        <v>1</v>
      </c>
      <c r="I40">
        <f t="shared" si="0"/>
        <v>1</v>
      </c>
      <c r="J40">
        <v>0.6</v>
      </c>
      <c r="K40">
        <v>0.75</v>
      </c>
      <c r="L40">
        <v>155</v>
      </c>
      <c r="M40">
        <f t="shared" si="1"/>
        <v>0.66700000000000004</v>
      </c>
    </row>
    <row r="41" spans="1:13">
      <c r="A41" t="s">
        <v>207</v>
      </c>
      <c r="B41" s="1" t="s">
        <v>29</v>
      </c>
      <c r="C41" t="s">
        <v>208</v>
      </c>
      <c r="D41" t="s">
        <v>598</v>
      </c>
      <c r="E41" t="s">
        <v>1010</v>
      </c>
      <c r="F41" t="s">
        <v>417</v>
      </c>
      <c r="G41">
        <v>0.66700000000000004</v>
      </c>
      <c r="H41">
        <v>1</v>
      </c>
      <c r="I41">
        <f t="shared" si="0"/>
        <v>0.80023995200959808</v>
      </c>
      <c r="J41">
        <v>0.5</v>
      </c>
      <c r="K41">
        <v>1</v>
      </c>
      <c r="L41">
        <v>197</v>
      </c>
      <c r="M41">
        <f t="shared" si="1"/>
        <v>0.66700000000000004</v>
      </c>
    </row>
    <row r="42" spans="1:13">
      <c r="A42" t="s">
        <v>209</v>
      </c>
      <c r="B42" s="1" t="s">
        <v>210</v>
      </c>
      <c r="C42" t="s">
        <v>211</v>
      </c>
      <c r="D42" t="s">
        <v>565</v>
      </c>
      <c r="E42" t="s">
        <v>1011</v>
      </c>
      <c r="G42">
        <v>0</v>
      </c>
      <c r="H42">
        <v>0</v>
      </c>
      <c r="I42">
        <f t="shared" si="0"/>
        <v>0</v>
      </c>
      <c r="J42">
        <v>0</v>
      </c>
      <c r="K42">
        <v>0</v>
      </c>
      <c r="L42">
        <v>101</v>
      </c>
      <c r="M42">
        <f t="shared" si="1"/>
        <v>0</v>
      </c>
    </row>
    <row r="43" spans="1:13">
      <c r="A43" t="s">
        <v>214</v>
      </c>
      <c r="B43" s="1" t="s">
        <v>215</v>
      </c>
      <c r="C43" t="s">
        <v>216</v>
      </c>
      <c r="D43" t="s">
        <v>583</v>
      </c>
      <c r="E43" t="s">
        <v>993</v>
      </c>
      <c r="F43" t="s">
        <v>797</v>
      </c>
      <c r="G43">
        <v>1</v>
      </c>
      <c r="H43">
        <v>0.5</v>
      </c>
      <c r="I43">
        <f t="shared" si="0"/>
        <v>0.66666666666666663</v>
      </c>
      <c r="J43">
        <v>0.66700000000000004</v>
      </c>
      <c r="K43">
        <v>0.4</v>
      </c>
      <c r="L43">
        <v>145</v>
      </c>
      <c r="M43">
        <f t="shared" si="1"/>
        <v>0.5</v>
      </c>
    </row>
    <row r="44" spans="1:13">
      <c r="A44" t="s">
        <v>219</v>
      </c>
      <c r="B44" s="1" t="s">
        <v>41</v>
      </c>
      <c r="C44" t="s">
        <v>220</v>
      </c>
      <c r="D44" t="s">
        <v>646</v>
      </c>
      <c r="E44" t="s">
        <v>647</v>
      </c>
      <c r="F44" t="s">
        <v>187</v>
      </c>
      <c r="G44">
        <v>0.33300000000000002</v>
      </c>
      <c r="H44">
        <v>0.5</v>
      </c>
      <c r="I44">
        <f t="shared" si="0"/>
        <v>0.39975990396158467</v>
      </c>
      <c r="J44">
        <v>1</v>
      </c>
      <c r="K44">
        <v>0.25</v>
      </c>
      <c r="L44">
        <v>183</v>
      </c>
      <c r="M44">
        <f t="shared" si="1"/>
        <v>0.4</v>
      </c>
    </row>
    <row r="45" spans="1:13">
      <c r="A45" t="s">
        <v>223</v>
      </c>
      <c r="B45" s="1" t="s">
        <v>224</v>
      </c>
      <c r="C45" t="s">
        <v>119</v>
      </c>
      <c r="D45" t="s">
        <v>648</v>
      </c>
      <c r="E45" t="s">
        <v>1012</v>
      </c>
      <c r="F45" t="s">
        <v>39</v>
      </c>
      <c r="G45">
        <v>0.5</v>
      </c>
      <c r="H45">
        <v>0.5</v>
      </c>
      <c r="I45">
        <f t="shared" si="0"/>
        <v>0.5</v>
      </c>
      <c r="J45">
        <v>0.66700000000000004</v>
      </c>
      <c r="K45">
        <v>0.4</v>
      </c>
      <c r="L45">
        <v>182</v>
      </c>
      <c r="M45">
        <f t="shared" si="1"/>
        <v>0.5</v>
      </c>
    </row>
    <row r="46" spans="1:13">
      <c r="A46" t="s">
        <v>226</v>
      </c>
      <c r="B46" s="1" t="s">
        <v>88</v>
      </c>
      <c r="C46" t="s">
        <v>157</v>
      </c>
      <c r="D46" t="s">
        <v>650</v>
      </c>
      <c r="E46" t="s">
        <v>1013</v>
      </c>
      <c r="F46" t="s">
        <v>797</v>
      </c>
      <c r="G46">
        <v>0.16700000000000001</v>
      </c>
      <c r="H46">
        <v>1</v>
      </c>
      <c r="I46">
        <f t="shared" si="0"/>
        <v>0.28620394173093405</v>
      </c>
      <c r="J46">
        <v>0.5</v>
      </c>
      <c r="K46">
        <v>0.66700000000000004</v>
      </c>
      <c r="L46">
        <v>274</v>
      </c>
      <c r="M46">
        <f t="shared" si="1"/>
        <v>0.57199999999999995</v>
      </c>
    </row>
    <row r="47" spans="1:13">
      <c r="A47" t="s">
        <v>229</v>
      </c>
      <c r="B47" s="1" t="s">
        <v>230</v>
      </c>
      <c r="C47" t="s">
        <v>231</v>
      </c>
      <c r="D47" t="s">
        <v>565</v>
      </c>
      <c r="E47" t="s">
        <v>1014</v>
      </c>
      <c r="F47" t="s">
        <v>45</v>
      </c>
      <c r="G47">
        <v>0</v>
      </c>
      <c r="H47">
        <v>0</v>
      </c>
      <c r="I47">
        <f t="shared" si="0"/>
        <v>0</v>
      </c>
      <c r="J47">
        <v>0.111</v>
      </c>
      <c r="K47">
        <v>0.25</v>
      </c>
      <c r="L47">
        <v>121</v>
      </c>
      <c r="M47">
        <f t="shared" si="1"/>
        <v>0.154</v>
      </c>
    </row>
    <row r="48" spans="1:13">
      <c r="A48" t="s">
        <v>234</v>
      </c>
      <c r="B48" s="1" t="s">
        <v>88</v>
      </c>
      <c r="C48" t="s">
        <v>235</v>
      </c>
      <c r="D48" t="s">
        <v>653</v>
      </c>
      <c r="E48" t="s">
        <v>1015</v>
      </c>
      <c r="F48" t="s">
        <v>417</v>
      </c>
      <c r="G48">
        <v>0</v>
      </c>
      <c r="H48">
        <v>0</v>
      </c>
      <c r="I48">
        <f t="shared" si="0"/>
        <v>0</v>
      </c>
      <c r="J48">
        <v>1</v>
      </c>
      <c r="K48">
        <v>1</v>
      </c>
      <c r="L48">
        <v>143</v>
      </c>
      <c r="M48">
        <f t="shared" si="1"/>
        <v>1</v>
      </c>
    </row>
    <row r="49" spans="1:13">
      <c r="A49" t="s">
        <v>238</v>
      </c>
      <c r="B49" s="1" t="s">
        <v>215</v>
      </c>
      <c r="C49" t="s">
        <v>239</v>
      </c>
      <c r="D49" t="s">
        <v>565</v>
      </c>
      <c r="E49" t="s">
        <v>1016</v>
      </c>
      <c r="F49" t="s">
        <v>783</v>
      </c>
      <c r="G49">
        <v>0</v>
      </c>
      <c r="H49">
        <v>0</v>
      </c>
      <c r="I49">
        <f t="shared" si="0"/>
        <v>0</v>
      </c>
      <c r="J49">
        <v>0.222</v>
      </c>
      <c r="K49">
        <v>0.5</v>
      </c>
      <c r="L49">
        <v>119</v>
      </c>
      <c r="M49">
        <f t="shared" si="1"/>
        <v>0.307</v>
      </c>
    </row>
    <row r="50" spans="1:13">
      <c r="A50" t="s">
        <v>241</v>
      </c>
      <c r="B50" s="1" t="s">
        <v>203</v>
      </c>
      <c r="C50" t="s">
        <v>242</v>
      </c>
      <c r="D50" t="s">
        <v>655</v>
      </c>
      <c r="E50" t="s">
        <v>1017</v>
      </c>
      <c r="F50" t="s">
        <v>788</v>
      </c>
      <c r="G50">
        <v>0.5</v>
      </c>
      <c r="H50">
        <v>1</v>
      </c>
      <c r="I50">
        <f t="shared" si="0"/>
        <v>0.66666666666666663</v>
      </c>
      <c r="J50">
        <v>1</v>
      </c>
      <c r="K50">
        <v>0.75</v>
      </c>
      <c r="L50">
        <v>161</v>
      </c>
      <c r="M50">
        <f t="shared" si="1"/>
        <v>0.85699999999999998</v>
      </c>
    </row>
    <row r="51" spans="1:13">
      <c r="A51" t="s">
        <v>245</v>
      </c>
      <c r="B51" s="1" t="s">
        <v>29</v>
      </c>
      <c r="C51" t="s">
        <v>208</v>
      </c>
      <c r="D51" t="s">
        <v>598</v>
      </c>
      <c r="E51" t="s">
        <v>1018</v>
      </c>
      <c r="F51" t="s">
        <v>417</v>
      </c>
      <c r="G51">
        <v>0.66700000000000004</v>
      </c>
      <c r="H51">
        <v>1</v>
      </c>
      <c r="I51">
        <f t="shared" si="0"/>
        <v>0.80023995200959808</v>
      </c>
      <c r="J51">
        <v>0.5</v>
      </c>
      <c r="K51">
        <v>0.75</v>
      </c>
      <c r="L51">
        <v>193</v>
      </c>
      <c r="M51">
        <f t="shared" si="1"/>
        <v>0.6</v>
      </c>
    </row>
    <row r="52" spans="1:13">
      <c r="A52" t="s">
        <v>246</v>
      </c>
      <c r="B52" s="1" t="s">
        <v>247</v>
      </c>
      <c r="C52" t="s">
        <v>248</v>
      </c>
      <c r="D52" t="s">
        <v>657</v>
      </c>
      <c r="E52" t="s">
        <v>1019</v>
      </c>
      <c r="F52" t="s">
        <v>417</v>
      </c>
      <c r="G52">
        <v>0.66700000000000004</v>
      </c>
      <c r="H52">
        <v>0.66700000000000004</v>
      </c>
      <c r="I52">
        <f t="shared" si="0"/>
        <v>0.66700000000000004</v>
      </c>
      <c r="J52">
        <v>0.42899999999999999</v>
      </c>
      <c r="K52">
        <v>0.75</v>
      </c>
      <c r="L52">
        <v>158</v>
      </c>
      <c r="M52">
        <f t="shared" si="1"/>
        <v>0.54600000000000004</v>
      </c>
    </row>
    <row r="53" spans="1:13">
      <c r="A53" t="s">
        <v>251</v>
      </c>
      <c r="B53" s="1" t="s">
        <v>47</v>
      </c>
      <c r="C53" t="s">
        <v>252</v>
      </c>
      <c r="D53" t="s">
        <v>565</v>
      </c>
      <c r="E53" t="s">
        <v>1020</v>
      </c>
      <c r="G53">
        <v>0</v>
      </c>
      <c r="H53">
        <v>0</v>
      </c>
      <c r="I53">
        <f t="shared" si="0"/>
        <v>0</v>
      </c>
      <c r="J53">
        <v>0</v>
      </c>
      <c r="K53">
        <v>0</v>
      </c>
      <c r="L53">
        <v>117</v>
      </c>
      <c r="M53">
        <f t="shared" si="1"/>
        <v>0</v>
      </c>
    </row>
    <row r="54" spans="1:13">
      <c r="A54" t="s">
        <v>255</v>
      </c>
      <c r="B54" s="1" t="s">
        <v>23</v>
      </c>
      <c r="C54" t="s">
        <v>256</v>
      </c>
      <c r="D54" t="s">
        <v>565</v>
      </c>
      <c r="E54" t="s">
        <v>1021</v>
      </c>
      <c r="F54" t="s">
        <v>187</v>
      </c>
      <c r="G54">
        <v>0</v>
      </c>
      <c r="H54">
        <v>0</v>
      </c>
      <c r="I54">
        <f t="shared" si="0"/>
        <v>0</v>
      </c>
      <c r="J54">
        <v>0.25</v>
      </c>
      <c r="K54">
        <v>0.33300000000000002</v>
      </c>
      <c r="L54">
        <v>109</v>
      </c>
      <c r="M54">
        <f t="shared" si="1"/>
        <v>0.28599999999999998</v>
      </c>
    </row>
    <row r="55" spans="1:13">
      <c r="A55" t="s">
        <v>259</v>
      </c>
      <c r="B55" s="1" t="s">
        <v>143</v>
      </c>
      <c r="C55" t="s">
        <v>260</v>
      </c>
      <c r="D55" t="s">
        <v>565</v>
      </c>
      <c r="E55" t="s">
        <v>1022</v>
      </c>
      <c r="F55" t="s">
        <v>442</v>
      </c>
      <c r="G55">
        <v>0</v>
      </c>
      <c r="H55">
        <v>0</v>
      </c>
      <c r="I55">
        <f t="shared" si="0"/>
        <v>0</v>
      </c>
      <c r="J55">
        <v>0.2</v>
      </c>
      <c r="K55">
        <v>0.5</v>
      </c>
      <c r="L55">
        <v>124</v>
      </c>
      <c r="M55">
        <f t="shared" si="1"/>
        <v>0.28599999999999998</v>
      </c>
    </row>
    <row r="56" spans="1:13">
      <c r="A56" t="s">
        <v>263</v>
      </c>
      <c r="B56" s="1" t="s">
        <v>93</v>
      </c>
      <c r="C56" t="s">
        <v>264</v>
      </c>
      <c r="D56" t="s">
        <v>662</v>
      </c>
      <c r="E56" t="s">
        <v>1023</v>
      </c>
      <c r="F56" t="s">
        <v>417</v>
      </c>
      <c r="G56">
        <v>0.66700000000000004</v>
      </c>
      <c r="H56">
        <v>1</v>
      </c>
      <c r="I56">
        <f t="shared" si="0"/>
        <v>0.80023995200959808</v>
      </c>
      <c r="J56">
        <v>0.6</v>
      </c>
      <c r="K56">
        <v>0.75</v>
      </c>
      <c r="L56">
        <v>191</v>
      </c>
      <c r="M56">
        <f t="shared" si="1"/>
        <v>0.66700000000000004</v>
      </c>
    </row>
    <row r="57" spans="1:13">
      <c r="A57" t="s">
        <v>267</v>
      </c>
      <c r="B57" s="1" t="s">
        <v>268</v>
      </c>
      <c r="C57" t="s">
        <v>269</v>
      </c>
      <c r="D57" t="s">
        <v>664</v>
      </c>
      <c r="E57" t="s">
        <v>1024</v>
      </c>
      <c r="F57" t="s">
        <v>774</v>
      </c>
      <c r="G57">
        <v>0</v>
      </c>
      <c r="H57">
        <v>0</v>
      </c>
      <c r="I57">
        <f t="shared" si="0"/>
        <v>0</v>
      </c>
      <c r="J57">
        <v>0.33300000000000002</v>
      </c>
      <c r="K57">
        <v>0.5</v>
      </c>
      <c r="L57">
        <v>212</v>
      </c>
      <c r="M57">
        <f t="shared" si="1"/>
        <v>0.4</v>
      </c>
    </row>
    <row r="58" spans="1:13">
      <c r="A58" t="s">
        <v>271</v>
      </c>
      <c r="B58" s="1" t="s">
        <v>272</v>
      </c>
      <c r="C58" t="s">
        <v>273</v>
      </c>
      <c r="D58" t="s">
        <v>118</v>
      </c>
      <c r="E58" t="s">
        <v>273</v>
      </c>
      <c r="F58" t="s">
        <v>45</v>
      </c>
      <c r="G58">
        <v>1</v>
      </c>
      <c r="H58">
        <v>0.33300000000000002</v>
      </c>
      <c r="I58">
        <f t="shared" si="0"/>
        <v>0.4996249062265567</v>
      </c>
      <c r="J58">
        <v>1</v>
      </c>
      <c r="K58">
        <v>1</v>
      </c>
      <c r="L58">
        <v>123</v>
      </c>
      <c r="M58">
        <f t="shared" si="1"/>
        <v>1</v>
      </c>
    </row>
    <row r="59" spans="1:13">
      <c r="A59" t="s">
        <v>276</v>
      </c>
      <c r="B59" s="1" t="s">
        <v>277</v>
      </c>
      <c r="C59" t="s">
        <v>278</v>
      </c>
      <c r="D59" t="s">
        <v>666</v>
      </c>
      <c r="E59" t="s">
        <v>278</v>
      </c>
      <c r="F59" t="s">
        <v>27</v>
      </c>
      <c r="G59">
        <v>0.4</v>
      </c>
      <c r="H59">
        <v>1</v>
      </c>
      <c r="I59">
        <f t="shared" si="0"/>
        <v>0.57142857142857151</v>
      </c>
      <c r="J59">
        <v>1</v>
      </c>
      <c r="K59">
        <v>1</v>
      </c>
      <c r="L59">
        <v>263</v>
      </c>
      <c r="M59">
        <f t="shared" si="1"/>
        <v>1</v>
      </c>
    </row>
    <row r="60" spans="1:13">
      <c r="A60" t="s">
        <v>281</v>
      </c>
      <c r="B60" s="1" t="s">
        <v>29</v>
      </c>
      <c r="C60" t="s">
        <v>264</v>
      </c>
      <c r="D60" t="s">
        <v>662</v>
      </c>
      <c r="E60" t="s">
        <v>1025</v>
      </c>
      <c r="F60" t="s">
        <v>417</v>
      </c>
      <c r="G60">
        <v>0.66700000000000004</v>
      </c>
      <c r="H60">
        <v>1</v>
      </c>
      <c r="I60">
        <f t="shared" si="0"/>
        <v>0.80023995200959808</v>
      </c>
      <c r="J60">
        <v>0.6</v>
      </c>
      <c r="K60">
        <v>0.75</v>
      </c>
      <c r="L60">
        <v>190</v>
      </c>
      <c r="M60">
        <f t="shared" si="1"/>
        <v>0.66700000000000004</v>
      </c>
    </row>
    <row r="61" spans="1:13">
      <c r="A61" t="s">
        <v>284</v>
      </c>
      <c r="B61" s="1" t="s">
        <v>285</v>
      </c>
      <c r="C61" t="s">
        <v>286</v>
      </c>
      <c r="D61" t="s">
        <v>96</v>
      </c>
      <c r="E61" t="s">
        <v>1026</v>
      </c>
      <c r="F61" t="s">
        <v>51</v>
      </c>
      <c r="G61">
        <v>1</v>
      </c>
      <c r="H61">
        <v>0.5</v>
      </c>
      <c r="I61">
        <f t="shared" si="0"/>
        <v>0.66666666666666663</v>
      </c>
      <c r="J61">
        <v>0.66700000000000004</v>
      </c>
      <c r="K61">
        <v>0.5</v>
      </c>
      <c r="L61">
        <v>171</v>
      </c>
      <c r="M61">
        <f t="shared" si="1"/>
        <v>0.57199999999999995</v>
      </c>
    </row>
    <row r="62" spans="1:13">
      <c r="A62" t="s">
        <v>289</v>
      </c>
      <c r="B62" s="1" t="s">
        <v>290</v>
      </c>
      <c r="C62" t="s">
        <v>291</v>
      </c>
      <c r="D62" t="s">
        <v>668</v>
      </c>
      <c r="E62" t="s">
        <v>1027</v>
      </c>
      <c r="F62" t="s">
        <v>39</v>
      </c>
      <c r="G62">
        <v>0</v>
      </c>
      <c r="H62">
        <v>0</v>
      </c>
      <c r="I62">
        <f t="shared" si="0"/>
        <v>0</v>
      </c>
      <c r="J62">
        <v>0</v>
      </c>
      <c r="K62">
        <v>0</v>
      </c>
      <c r="L62">
        <v>156</v>
      </c>
      <c r="M62">
        <f t="shared" si="1"/>
        <v>0</v>
      </c>
    </row>
    <row r="63" spans="1:13">
      <c r="A63" t="s">
        <v>294</v>
      </c>
      <c r="B63" s="1" t="s">
        <v>88</v>
      </c>
      <c r="C63" t="s">
        <v>295</v>
      </c>
      <c r="D63" t="s">
        <v>670</v>
      </c>
      <c r="E63" t="s">
        <v>1028</v>
      </c>
      <c r="F63" t="s">
        <v>417</v>
      </c>
      <c r="G63">
        <v>0</v>
      </c>
      <c r="H63">
        <v>0</v>
      </c>
      <c r="I63">
        <f t="shared" si="0"/>
        <v>0</v>
      </c>
      <c r="J63">
        <v>0.14299999999999999</v>
      </c>
      <c r="K63">
        <v>0.125</v>
      </c>
      <c r="L63">
        <v>142</v>
      </c>
      <c r="M63">
        <f t="shared" si="1"/>
        <v>0.13300000000000001</v>
      </c>
    </row>
    <row r="64" spans="1:13">
      <c r="A64" t="s">
        <v>298</v>
      </c>
      <c r="B64" s="1" t="s">
        <v>299</v>
      </c>
      <c r="C64" t="s">
        <v>233</v>
      </c>
      <c r="D64" t="s">
        <v>565</v>
      </c>
      <c r="E64" t="s">
        <v>1029</v>
      </c>
      <c r="G64">
        <v>0</v>
      </c>
      <c r="H64">
        <v>0</v>
      </c>
      <c r="I64">
        <f t="shared" si="0"/>
        <v>0</v>
      </c>
      <c r="J64">
        <v>0</v>
      </c>
      <c r="K64">
        <v>0</v>
      </c>
      <c r="L64">
        <v>146</v>
      </c>
      <c r="M64">
        <f t="shared" si="1"/>
        <v>0</v>
      </c>
    </row>
    <row r="65" spans="1:13">
      <c r="A65" t="s">
        <v>302</v>
      </c>
      <c r="B65" s="1" t="s">
        <v>277</v>
      </c>
      <c r="C65" t="s">
        <v>278</v>
      </c>
      <c r="D65" t="s">
        <v>593</v>
      </c>
      <c r="E65" t="s">
        <v>1030</v>
      </c>
      <c r="F65" t="s">
        <v>883</v>
      </c>
      <c r="G65">
        <v>0.4</v>
      </c>
      <c r="H65">
        <v>1</v>
      </c>
      <c r="I65">
        <f t="shared" si="0"/>
        <v>0.57142857142857151</v>
      </c>
      <c r="J65">
        <v>0.2</v>
      </c>
      <c r="K65">
        <v>1</v>
      </c>
      <c r="L65">
        <v>244</v>
      </c>
      <c r="M65">
        <f t="shared" si="1"/>
        <v>0.33300000000000002</v>
      </c>
    </row>
    <row r="66" spans="1:13">
      <c r="A66" t="s">
        <v>305</v>
      </c>
      <c r="B66" s="1" t="s">
        <v>47</v>
      </c>
      <c r="C66" t="s">
        <v>306</v>
      </c>
      <c r="D66" t="s">
        <v>1031</v>
      </c>
      <c r="E66" t="s">
        <v>1032</v>
      </c>
      <c r="F66" t="s">
        <v>847</v>
      </c>
      <c r="G66">
        <v>0.33300000000000002</v>
      </c>
      <c r="H66">
        <v>0.5</v>
      </c>
      <c r="I66">
        <f t="shared" ref="I66:I94" si="2">IF(G66+H66=0,0,2*G66*H66/(G66+H66))</f>
        <v>0.39975990396158467</v>
      </c>
      <c r="J66">
        <v>0.6</v>
      </c>
      <c r="K66">
        <v>0.75</v>
      </c>
      <c r="L66">
        <v>192</v>
      </c>
      <c r="M66">
        <f t="shared" ref="M66:M94" si="3">IF(J66+K66=0,0,ROUND(2*J66*K66/(J66+K66),3))</f>
        <v>0.66700000000000004</v>
      </c>
    </row>
    <row r="67" spans="1:13">
      <c r="A67" t="s">
        <v>309</v>
      </c>
      <c r="B67" s="1" t="s">
        <v>310</v>
      </c>
      <c r="C67" t="s">
        <v>311</v>
      </c>
      <c r="D67" t="s">
        <v>594</v>
      </c>
      <c r="E67" t="s">
        <v>676</v>
      </c>
      <c r="F67" t="s">
        <v>442</v>
      </c>
      <c r="G67">
        <v>0</v>
      </c>
      <c r="H67">
        <v>0</v>
      </c>
      <c r="I67">
        <f t="shared" si="2"/>
        <v>0</v>
      </c>
      <c r="J67">
        <v>0</v>
      </c>
      <c r="K67">
        <v>0</v>
      </c>
      <c r="L67">
        <v>144</v>
      </c>
      <c r="M67">
        <f t="shared" si="3"/>
        <v>0</v>
      </c>
    </row>
    <row r="68" spans="1:13">
      <c r="A68" t="s">
        <v>314</v>
      </c>
      <c r="B68" s="1" t="s">
        <v>315</v>
      </c>
      <c r="C68" t="s">
        <v>316</v>
      </c>
      <c r="D68" t="s">
        <v>565</v>
      </c>
      <c r="E68" t="s">
        <v>1033</v>
      </c>
      <c r="G68">
        <v>0</v>
      </c>
      <c r="H68">
        <v>0</v>
      </c>
      <c r="I68">
        <f t="shared" si="2"/>
        <v>0</v>
      </c>
      <c r="J68">
        <v>0</v>
      </c>
      <c r="K68">
        <v>0</v>
      </c>
      <c r="L68">
        <v>144</v>
      </c>
      <c r="M68">
        <f t="shared" si="3"/>
        <v>0</v>
      </c>
    </row>
    <row r="69" spans="1:13">
      <c r="A69" t="s">
        <v>319</v>
      </c>
      <c r="B69" s="1" t="s">
        <v>320</v>
      </c>
      <c r="C69" t="s">
        <v>321</v>
      </c>
      <c r="D69" t="s">
        <v>565</v>
      </c>
      <c r="E69" t="s">
        <v>1034</v>
      </c>
      <c r="F69" t="s">
        <v>442</v>
      </c>
      <c r="G69">
        <v>0</v>
      </c>
      <c r="H69">
        <v>0</v>
      </c>
      <c r="I69">
        <f t="shared" si="2"/>
        <v>0</v>
      </c>
      <c r="J69">
        <v>0.28599999999999998</v>
      </c>
      <c r="K69">
        <v>0.5</v>
      </c>
      <c r="L69">
        <v>114</v>
      </c>
      <c r="M69">
        <f t="shared" si="3"/>
        <v>0.36399999999999999</v>
      </c>
    </row>
    <row r="70" spans="1:13">
      <c r="A70" t="s">
        <v>324</v>
      </c>
      <c r="B70" s="1" t="s">
        <v>29</v>
      </c>
      <c r="C70" t="s">
        <v>325</v>
      </c>
      <c r="D70" t="s">
        <v>598</v>
      </c>
      <c r="E70" t="s">
        <v>1035</v>
      </c>
      <c r="F70" t="s">
        <v>417</v>
      </c>
      <c r="G70">
        <v>0.66700000000000004</v>
      </c>
      <c r="H70">
        <v>1</v>
      </c>
      <c r="I70">
        <f t="shared" si="2"/>
        <v>0.80023995200959808</v>
      </c>
      <c r="J70">
        <v>0.83299999999999996</v>
      </c>
      <c r="K70">
        <v>0.83299999999999996</v>
      </c>
      <c r="L70">
        <v>190</v>
      </c>
      <c r="M70">
        <f t="shared" si="3"/>
        <v>0.83299999999999996</v>
      </c>
    </row>
    <row r="71" spans="1:13">
      <c r="A71" t="s">
        <v>328</v>
      </c>
      <c r="B71" s="1" t="s">
        <v>47</v>
      </c>
      <c r="C71" t="s">
        <v>148</v>
      </c>
      <c r="D71" t="s">
        <v>588</v>
      </c>
      <c r="E71" t="s">
        <v>1036</v>
      </c>
      <c r="F71" t="s">
        <v>424</v>
      </c>
      <c r="G71">
        <v>1</v>
      </c>
      <c r="H71">
        <v>0.5</v>
      </c>
      <c r="I71">
        <f t="shared" si="2"/>
        <v>0.66666666666666663</v>
      </c>
      <c r="J71">
        <v>0.66700000000000004</v>
      </c>
      <c r="K71">
        <v>1</v>
      </c>
      <c r="L71">
        <v>109</v>
      </c>
      <c r="M71">
        <f t="shared" si="3"/>
        <v>0.8</v>
      </c>
    </row>
    <row r="72" spans="1:13">
      <c r="A72" t="s">
        <v>40</v>
      </c>
      <c r="B72" s="1" t="s">
        <v>70</v>
      </c>
      <c r="C72" t="s">
        <v>273</v>
      </c>
      <c r="D72" t="s">
        <v>96</v>
      </c>
      <c r="E72" t="s">
        <v>273</v>
      </c>
      <c r="F72" t="s">
        <v>45</v>
      </c>
      <c r="G72">
        <v>0</v>
      </c>
      <c r="H72">
        <v>0</v>
      </c>
      <c r="I72">
        <f t="shared" si="2"/>
        <v>0</v>
      </c>
      <c r="J72">
        <v>1</v>
      </c>
      <c r="K72">
        <v>1</v>
      </c>
      <c r="L72">
        <v>169</v>
      </c>
      <c r="M72">
        <f t="shared" si="3"/>
        <v>1</v>
      </c>
    </row>
    <row r="73" spans="1:13">
      <c r="A73" t="s">
        <v>331</v>
      </c>
      <c r="B73" s="1" t="s">
        <v>70</v>
      </c>
      <c r="C73" t="s">
        <v>332</v>
      </c>
      <c r="D73" t="s">
        <v>565</v>
      </c>
      <c r="E73" t="s">
        <v>1037</v>
      </c>
      <c r="F73" t="s">
        <v>783</v>
      </c>
      <c r="G73">
        <v>0</v>
      </c>
      <c r="H73">
        <v>0</v>
      </c>
      <c r="I73">
        <f t="shared" si="2"/>
        <v>0</v>
      </c>
      <c r="J73">
        <v>0.2</v>
      </c>
      <c r="K73">
        <v>1</v>
      </c>
      <c r="L73">
        <v>115</v>
      </c>
      <c r="M73">
        <f t="shared" si="3"/>
        <v>0.33300000000000002</v>
      </c>
    </row>
    <row r="74" spans="1:13">
      <c r="A74" t="s">
        <v>335</v>
      </c>
      <c r="B74" s="1" t="s">
        <v>41</v>
      </c>
      <c r="C74" t="s">
        <v>336</v>
      </c>
      <c r="D74" t="s">
        <v>683</v>
      </c>
      <c r="E74" t="s">
        <v>589</v>
      </c>
      <c r="F74" t="s">
        <v>533</v>
      </c>
      <c r="G74">
        <v>0.2</v>
      </c>
      <c r="H74">
        <v>0.5</v>
      </c>
      <c r="I74">
        <f t="shared" si="2"/>
        <v>0.28571428571428575</v>
      </c>
      <c r="J74">
        <v>1</v>
      </c>
      <c r="K74">
        <v>0.66700000000000004</v>
      </c>
      <c r="L74">
        <v>209</v>
      </c>
      <c r="M74">
        <f t="shared" si="3"/>
        <v>0.8</v>
      </c>
    </row>
    <row r="75" spans="1:13">
      <c r="A75" t="s">
        <v>339</v>
      </c>
      <c r="B75" s="1" t="s">
        <v>340</v>
      </c>
      <c r="C75" t="s">
        <v>341</v>
      </c>
      <c r="D75" t="s">
        <v>565</v>
      </c>
      <c r="E75" t="s">
        <v>1038</v>
      </c>
      <c r="G75">
        <v>0</v>
      </c>
      <c r="H75">
        <v>0</v>
      </c>
      <c r="I75">
        <f t="shared" si="2"/>
        <v>0</v>
      </c>
      <c r="J75">
        <v>0</v>
      </c>
      <c r="K75">
        <v>0</v>
      </c>
      <c r="L75">
        <v>133</v>
      </c>
      <c r="M75">
        <f t="shared" si="3"/>
        <v>0</v>
      </c>
    </row>
    <row r="76" spans="1:13">
      <c r="A76" t="s">
        <v>344</v>
      </c>
      <c r="B76" s="1" t="s">
        <v>299</v>
      </c>
      <c r="C76" t="s">
        <v>345</v>
      </c>
      <c r="D76" t="s">
        <v>565</v>
      </c>
      <c r="E76" t="s">
        <v>1039</v>
      </c>
      <c r="F76" t="s">
        <v>777</v>
      </c>
      <c r="G76">
        <v>0</v>
      </c>
      <c r="H76">
        <v>0</v>
      </c>
      <c r="I76">
        <f t="shared" si="2"/>
        <v>0</v>
      </c>
      <c r="J76">
        <v>0</v>
      </c>
      <c r="K76">
        <v>0</v>
      </c>
      <c r="L76">
        <v>123</v>
      </c>
      <c r="M76">
        <f t="shared" si="3"/>
        <v>0</v>
      </c>
    </row>
    <row r="77" spans="1:13">
      <c r="A77" t="s">
        <v>348</v>
      </c>
      <c r="B77" s="1" t="s">
        <v>315</v>
      </c>
      <c r="C77" t="s">
        <v>349</v>
      </c>
      <c r="D77" t="s">
        <v>315</v>
      </c>
      <c r="E77" t="s">
        <v>1040</v>
      </c>
      <c r="F77" t="s">
        <v>424</v>
      </c>
      <c r="G77">
        <v>1</v>
      </c>
      <c r="H77">
        <v>1</v>
      </c>
      <c r="I77">
        <f t="shared" si="2"/>
        <v>1</v>
      </c>
      <c r="J77">
        <v>0.4</v>
      </c>
      <c r="K77">
        <v>0.66700000000000004</v>
      </c>
      <c r="L77">
        <v>130</v>
      </c>
      <c r="M77">
        <f t="shared" si="3"/>
        <v>0.5</v>
      </c>
    </row>
    <row r="78" spans="1:13">
      <c r="A78" t="s">
        <v>353</v>
      </c>
      <c r="B78" s="1" t="s">
        <v>354</v>
      </c>
      <c r="C78" t="s">
        <v>355</v>
      </c>
      <c r="D78" t="s">
        <v>565</v>
      </c>
      <c r="E78" t="s">
        <v>687</v>
      </c>
      <c r="F78" t="s">
        <v>442</v>
      </c>
      <c r="G78">
        <v>0</v>
      </c>
      <c r="H78">
        <v>0</v>
      </c>
      <c r="I78">
        <f t="shared" si="2"/>
        <v>0</v>
      </c>
      <c r="J78">
        <v>1</v>
      </c>
      <c r="K78">
        <v>1</v>
      </c>
      <c r="L78">
        <v>103</v>
      </c>
      <c r="M78">
        <f t="shared" si="3"/>
        <v>1</v>
      </c>
    </row>
    <row r="79" spans="1:13">
      <c r="A79" t="s">
        <v>357</v>
      </c>
      <c r="B79" s="1" t="s">
        <v>29</v>
      </c>
      <c r="C79" t="s">
        <v>358</v>
      </c>
      <c r="D79" t="s">
        <v>598</v>
      </c>
      <c r="E79" t="s">
        <v>1041</v>
      </c>
      <c r="F79" t="s">
        <v>788</v>
      </c>
      <c r="G79">
        <v>0.66700000000000004</v>
      </c>
      <c r="H79">
        <v>1</v>
      </c>
      <c r="I79">
        <f t="shared" si="2"/>
        <v>0.80023995200959808</v>
      </c>
      <c r="J79">
        <v>0.6</v>
      </c>
      <c r="K79">
        <v>0.75</v>
      </c>
      <c r="L79">
        <v>190</v>
      </c>
      <c r="M79">
        <f t="shared" si="3"/>
        <v>0.66700000000000004</v>
      </c>
    </row>
    <row r="80" spans="1:13">
      <c r="A80" t="s">
        <v>359</v>
      </c>
      <c r="B80" s="1" t="s">
        <v>360</v>
      </c>
      <c r="C80" t="s">
        <v>361</v>
      </c>
      <c r="D80" t="s">
        <v>565</v>
      </c>
      <c r="E80" t="s">
        <v>1042</v>
      </c>
      <c r="G80">
        <v>0</v>
      </c>
      <c r="H80">
        <v>0</v>
      </c>
      <c r="I80">
        <f t="shared" si="2"/>
        <v>0</v>
      </c>
      <c r="J80">
        <v>0</v>
      </c>
      <c r="K80">
        <v>0</v>
      </c>
      <c r="L80">
        <v>123</v>
      </c>
      <c r="M80">
        <f t="shared" si="3"/>
        <v>0</v>
      </c>
    </row>
    <row r="81" spans="1:13">
      <c r="A81" s="6" t="s">
        <v>364</v>
      </c>
      <c r="B81" s="1" t="s">
        <v>365</v>
      </c>
      <c r="C81" t="s">
        <v>355</v>
      </c>
      <c r="D81" t="s">
        <v>565</v>
      </c>
      <c r="E81" t="s">
        <v>1043</v>
      </c>
      <c r="F81" t="s">
        <v>442</v>
      </c>
      <c r="G81">
        <v>0</v>
      </c>
      <c r="H81">
        <v>0</v>
      </c>
      <c r="I81">
        <f t="shared" si="2"/>
        <v>0</v>
      </c>
      <c r="J81">
        <v>0.33300000000000002</v>
      </c>
      <c r="K81">
        <v>1</v>
      </c>
      <c r="L81">
        <v>116</v>
      </c>
      <c r="M81">
        <f t="shared" si="3"/>
        <v>0.5</v>
      </c>
    </row>
    <row r="82" spans="1:13">
      <c r="A82" t="s">
        <v>368</v>
      </c>
      <c r="B82" s="1" t="s">
        <v>369</v>
      </c>
      <c r="C82" t="s">
        <v>370</v>
      </c>
      <c r="D82" t="s">
        <v>691</v>
      </c>
      <c r="E82" t="s">
        <v>1044</v>
      </c>
      <c r="F82" t="s">
        <v>442</v>
      </c>
      <c r="G82">
        <v>0.66700000000000004</v>
      </c>
      <c r="H82">
        <v>1</v>
      </c>
      <c r="I82">
        <f t="shared" si="2"/>
        <v>0.80023995200959808</v>
      </c>
      <c r="J82">
        <v>1</v>
      </c>
      <c r="K82">
        <v>0.75</v>
      </c>
      <c r="L82">
        <v>132</v>
      </c>
      <c r="M82">
        <f t="shared" si="3"/>
        <v>0.85699999999999998</v>
      </c>
    </row>
    <row r="83" spans="1:13">
      <c r="A83" t="s">
        <v>373</v>
      </c>
      <c r="B83" s="1" t="s">
        <v>374</v>
      </c>
      <c r="C83" t="s">
        <v>375</v>
      </c>
      <c r="D83" t="s">
        <v>565</v>
      </c>
      <c r="E83" t="s">
        <v>1045</v>
      </c>
      <c r="F83" t="s">
        <v>45</v>
      </c>
      <c r="G83">
        <v>0</v>
      </c>
      <c r="H83">
        <v>0</v>
      </c>
      <c r="I83">
        <f t="shared" si="2"/>
        <v>0</v>
      </c>
      <c r="J83">
        <v>0</v>
      </c>
      <c r="K83">
        <v>0</v>
      </c>
      <c r="L83">
        <v>107</v>
      </c>
      <c r="M83">
        <f t="shared" si="3"/>
        <v>0</v>
      </c>
    </row>
    <row r="84" spans="1:13">
      <c r="A84" t="s">
        <v>378</v>
      </c>
      <c r="B84" s="1" t="s">
        <v>230</v>
      </c>
      <c r="C84" t="s">
        <v>379</v>
      </c>
      <c r="D84" t="s">
        <v>565</v>
      </c>
      <c r="E84" t="s">
        <v>1046</v>
      </c>
      <c r="G84">
        <v>0</v>
      </c>
      <c r="H84">
        <v>0</v>
      </c>
      <c r="I84">
        <f t="shared" si="2"/>
        <v>0</v>
      </c>
      <c r="J84">
        <v>0</v>
      </c>
      <c r="K84">
        <v>0</v>
      </c>
      <c r="L84">
        <v>119</v>
      </c>
      <c r="M84">
        <f t="shared" si="3"/>
        <v>0</v>
      </c>
    </row>
    <row r="85" spans="1:13">
      <c r="A85" t="s">
        <v>382</v>
      </c>
      <c r="B85" s="1" t="s">
        <v>41</v>
      </c>
      <c r="C85" t="s">
        <v>383</v>
      </c>
      <c r="D85" t="s">
        <v>565</v>
      </c>
      <c r="E85" t="s">
        <v>566</v>
      </c>
      <c r="G85">
        <v>0</v>
      </c>
      <c r="H85">
        <v>0</v>
      </c>
      <c r="I85">
        <f t="shared" si="2"/>
        <v>0</v>
      </c>
      <c r="J85">
        <v>0</v>
      </c>
      <c r="K85">
        <v>0</v>
      </c>
      <c r="L85">
        <v>118</v>
      </c>
      <c r="M85">
        <f t="shared" si="3"/>
        <v>0</v>
      </c>
    </row>
    <row r="86" spans="1:13">
      <c r="A86" t="s">
        <v>386</v>
      </c>
      <c r="B86" s="1" t="s">
        <v>70</v>
      </c>
      <c r="C86" t="s">
        <v>387</v>
      </c>
      <c r="D86" t="s">
        <v>565</v>
      </c>
      <c r="E86" t="s">
        <v>1047</v>
      </c>
      <c r="G86">
        <v>0</v>
      </c>
      <c r="H86">
        <v>0</v>
      </c>
      <c r="I86">
        <f t="shared" si="2"/>
        <v>0</v>
      </c>
      <c r="J86">
        <v>0</v>
      </c>
      <c r="K86">
        <v>0</v>
      </c>
      <c r="L86">
        <v>122</v>
      </c>
      <c r="M86">
        <f t="shared" si="3"/>
        <v>0</v>
      </c>
    </row>
    <row r="87" spans="1:13">
      <c r="A87" t="s">
        <v>390</v>
      </c>
      <c r="B87" s="1" t="s">
        <v>41</v>
      </c>
      <c r="C87" t="s">
        <v>391</v>
      </c>
      <c r="D87" t="s">
        <v>696</v>
      </c>
      <c r="E87" t="s">
        <v>1048</v>
      </c>
      <c r="F87" t="s">
        <v>852</v>
      </c>
      <c r="G87">
        <v>0</v>
      </c>
      <c r="H87">
        <v>0</v>
      </c>
      <c r="I87">
        <f t="shared" si="2"/>
        <v>0</v>
      </c>
      <c r="J87">
        <v>0.5</v>
      </c>
      <c r="K87">
        <v>0.5</v>
      </c>
      <c r="L87">
        <v>168</v>
      </c>
      <c r="M87">
        <f t="shared" si="3"/>
        <v>0.5</v>
      </c>
    </row>
    <row r="88" spans="1:13">
      <c r="A88" t="s">
        <v>394</v>
      </c>
      <c r="B88" s="1" t="s">
        <v>395</v>
      </c>
      <c r="C88" t="s">
        <v>396</v>
      </c>
      <c r="D88" t="s">
        <v>565</v>
      </c>
      <c r="E88" t="s">
        <v>1049</v>
      </c>
      <c r="G88">
        <v>0</v>
      </c>
      <c r="H88">
        <v>0</v>
      </c>
      <c r="I88">
        <f t="shared" si="2"/>
        <v>0</v>
      </c>
      <c r="J88">
        <v>0</v>
      </c>
      <c r="K88">
        <v>0</v>
      </c>
      <c r="L88">
        <v>141</v>
      </c>
      <c r="M88">
        <f t="shared" si="3"/>
        <v>0</v>
      </c>
    </row>
    <row r="89" spans="1:13">
      <c r="A89" t="s">
        <v>399</v>
      </c>
      <c r="B89" s="1" t="s">
        <v>59</v>
      </c>
      <c r="C89" t="s">
        <v>400</v>
      </c>
      <c r="D89" t="s">
        <v>59</v>
      </c>
      <c r="E89" t="s">
        <v>1050</v>
      </c>
      <c r="F89" t="s">
        <v>883</v>
      </c>
      <c r="G89">
        <v>1</v>
      </c>
      <c r="H89">
        <v>1</v>
      </c>
      <c r="I89">
        <f t="shared" si="2"/>
        <v>1</v>
      </c>
      <c r="J89">
        <v>0.4</v>
      </c>
      <c r="K89">
        <v>1</v>
      </c>
      <c r="L89">
        <v>138</v>
      </c>
      <c r="M89">
        <f t="shared" si="3"/>
        <v>0.57099999999999995</v>
      </c>
    </row>
    <row r="90" spans="1:13">
      <c r="A90" t="s">
        <v>335</v>
      </c>
      <c r="B90" s="1" t="s">
        <v>41</v>
      </c>
      <c r="C90" t="s">
        <v>336</v>
      </c>
      <c r="D90" t="s">
        <v>683</v>
      </c>
      <c r="E90" t="s">
        <v>589</v>
      </c>
      <c r="F90" t="s">
        <v>533</v>
      </c>
      <c r="G90">
        <v>0.2</v>
      </c>
      <c r="H90">
        <v>0.5</v>
      </c>
      <c r="I90">
        <f t="shared" si="2"/>
        <v>0.28571428571428575</v>
      </c>
      <c r="J90">
        <v>1</v>
      </c>
      <c r="K90">
        <v>0.66700000000000004</v>
      </c>
      <c r="L90">
        <v>209</v>
      </c>
      <c r="M90">
        <f t="shared" si="3"/>
        <v>0.8</v>
      </c>
    </row>
    <row r="91" spans="1:13">
      <c r="A91" t="s">
        <v>403</v>
      </c>
      <c r="B91" s="1" t="s">
        <v>230</v>
      </c>
      <c r="C91" t="s">
        <v>404</v>
      </c>
      <c r="D91" t="s">
        <v>699</v>
      </c>
      <c r="E91" t="s">
        <v>1051</v>
      </c>
      <c r="F91" t="s">
        <v>187</v>
      </c>
      <c r="G91">
        <v>0.33300000000000002</v>
      </c>
      <c r="H91">
        <v>0.5</v>
      </c>
      <c r="I91">
        <f t="shared" si="2"/>
        <v>0.39975990396158467</v>
      </c>
      <c r="J91">
        <v>1</v>
      </c>
      <c r="K91">
        <v>0.2</v>
      </c>
      <c r="L91">
        <v>182</v>
      </c>
      <c r="M91">
        <f t="shared" si="3"/>
        <v>0.33300000000000002</v>
      </c>
    </row>
    <row r="92" spans="1:13">
      <c r="A92" t="s">
        <v>407</v>
      </c>
      <c r="B92" s="1" t="s">
        <v>35</v>
      </c>
      <c r="C92" t="s">
        <v>408</v>
      </c>
      <c r="D92" t="s">
        <v>565</v>
      </c>
      <c r="E92" t="s">
        <v>1052</v>
      </c>
      <c r="F92" t="s">
        <v>39</v>
      </c>
      <c r="G92">
        <v>0</v>
      </c>
      <c r="H92">
        <v>0</v>
      </c>
      <c r="I92">
        <f t="shared" si="2"/>
        <v>0</v>
      </c>
      <c r="J92">
        <v>0.14299999999999999</v>
      </c>
      <c r="K92">
        <v>0.33300000000000002</v>
      </c>
      <c r="L92">
        <v>115</v>
      </c>
      <c r="M92">
        <f t="shared" si="3"/>
        <v>0.2</v>
      </c>
    </row>
    <row r="93" spans="1:13">
      <c r="A93" t="s">
        <v>410</v>
      </c>
      <c r="B93" s="1" t="s">
        <v>59</v>
      </c>
      <c r="C93" t="s">
        <v>400</v>
      </c>
      <c r="D93" t="s">
        <v>59</v>
      </c>
      <c r="E93" t="s">
        <v>1050</v>
      </c>
      <c r="F93" t="s">
        <v>883</v>
      </c>
      <c r="G93">
        <v>1</v>
      </c>
      <c r="H93">
        <v>1</v>
      </c>
      <c r="I93">
        <f t="shared" si="2"/>
        <v>1</v>
      </c>
      <c r="J93">
        <v>0.4</v>
      </c>
      <c r="K93">
        <v>1</v>
      </c>
      <c r="L93">
        <v>139</v>
      </c>
      <c r="M93">
        <f t="shared" si="3"/>
        <v>0.57099999999999995</v>
      </c>
    </row>
    <row r="94" spans="1:13">
      <c r="A94" t="s">
        <v>413</v>
      </c>
      <c r="B94" s="1" t="s">
        <v>88</v>
      </c>
      <c r="C94" t="s">
        <v>278</v>
      </c>
      <c r="D94" t="s">
        <v>96</v>
      </c>
      <c r="E94" t="s">
        <v>1053</v>
      </c>
      <c r="F94" t="s">
        <v>51</v>
      </c>
      <c r="G94">
        <v>0</v>
      </c>
      <c r="H94">
        <v>0</v>
      </c>
      <c r="I94">
        <f t="shared" si="2"/>
        <v>0</v>
      </c>
      <c r="J94">
        <v>0</v>
      </c>
      <c r="K94">
        <v>0</v>
      </c>
      <c r="L94">
        <v>188</v>
      </c>
      <c r="M94">
        <f t="shared" si="3"/>
        <v>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4"/>
  <sheetViews>
    <sheetView zoomScale="70" zoomScaleNormal="70" workbookViewId="0">
      <selection activeCell="E2" sqref="E2"/>
    </sheetView>
  </sheetViews>
  <sheetFormatPr defaultRowHeight="18"/>
  <cols>
    <col min="1" max="1" width="86.08203125" customWidth="1"/>
    <col min="2" max="2" width="12.6640625" customWidth="1"/>
    <col min="3" max="3" width="11.4140625" customWidth="1"/>
    <col min="4" max="4" width="13.5" customWidth="1"/>
    <col min="5" max="5" width="38.1640625" customWidth="1"/>
    <col min="7" max="7" width="11.08203125" customWidth="1"/>
    <col min="8" max="8" width="10.9140625" customWidth="1"/>
    <col min="12" max="12" width="9.25" bestFit="1" customWidth="1"/>
    <col min="13" max="13" width="9.58203125" bestFit="1" customWidth="1"/>
    <col min="14" max="14" width="19.1640625" customWidth="1"/>
    <col min="15" max="15" width="17.4140625" customWidth="1"/>
    <col min="16" max="16" width="13.1640625" bestFit="1" customWidth="1"/>
  </cols>
  <sheetData>
    <row r="1" spans="1:16">
      <c r="A1" t="s">
        <v>9</v>
      </c>
      <c r="B1" t="s">
        <v>10</v>
      </c>
      <c r="C1" t="s">
        <v>11</v>
      </c>
      <c r="D1" t="s">
        <v>12</v>
      </c>
      <c r="E1" t="s">
        <v>13</v>
      </c>
      <c r="F1" t="s">
        <v>14</v>
      </c>
      <c r="G1" t="s">
        <v>15</v>
      </c>
      <c r="H1" t="s">
        <v>16</v>
      </c>
      <c r="I1" t="s">
        <v>17</v>
      </c>
      <c r="J1" t="s">
        <v>18</v>
      </c>
      <c r="K1" t="s">
        <v>19</v>
      </c>
      <c r="L1" t="s">
        <v>20</v>
      </c>
      <c r="M1" t="s">
        <v>21</v>
      </c>
      <c r="N1" t="s">
        <v>1</v>
      </c>
      <c r="O1" t="s">
        <v>2</v>
      </c>
      <c r="P1" s="3" t="s">
        <v>3</v>
      </c>
    </row>
    <row r="2" spans="1:16">
      <c r="A2" t="s">
        <v>22</v>
      </c>
      <c r="B2" s="1" t="s">
        <v>23</v>
      </c>
      <c r="C2" t="s">
        <v>24</v>
      </c>
      <c r="D2" t="s">
        <v>25</v>
      </c>
      <c r="E2" t="s">
        <v>26</v>
      </c>
      <c r="F2" t="s">
        <v>27</v>
      </c>
      <c r="G2">
        <v>0.1</v>
      </c>
      <c r="H2">
        <v>1</v>
      </c>
      <c r="I2">
        <f t="shared" ref="I2:I33" si="0">IF(G2+H2=0,0,2*G2*H2/(G2+H2))</f>
        <v>0.18181818181818182</v>
      </c>
      <c r="J2">
        <v>1</v>
      </c>
      <c r="K2">
        <v>0.33300000000000002</v>
      </c>
      <c r="L2">
        <v>338</v>
      </c>
      <c r="M2">
        <f t="shared" ref="M2:M33" si="1">IF(J2+K2=0,0,ROUND(2*J2*K2/(J2+K2),3))</f>
        <v>0.5</v>
      </c>
      <c r="N2" s="3">
        <f>ROUND(AVERAGE(J2:J94),3)</f>
        <v>0.54900000000000004</v>
      </c>
      <c r="O2" s="3">
        <f>ROUND(AVERAGE(K2:K94),3)</f>
        <v>0.59299999999999997</v>
      </c>
      <c r="P2" s="3">
        <f>SUM(M2:M94)/93</f>
        <v>0.52700000000000014</v>
      </c>
    </row>
    <row r="3" spans="1:16">
      <c r="A3" t="s">
        <v>28</v>
      </c>
      <c r="B3" s="1" t="s">
        <v>29</v>
      </c>
      <c r="C3" t="s">
        <v>30</v>
      </c>
      <c r="D3" t="s">
        <v>31</v>
      </c>
      <c r="E3" t="s">
        <v>32</v>
      </c>
      <c r="F3" t="s">
        <v>33</v>
      </c>
      <c r="G3">
        <v>0.1</v>
      </c>
      <c r="H3">
        <v>1</v>
      </c>
      <c r="I3">
        <f t="shared" si="0"/>
        <v>0.18181818181818182</v>
      </c>
      <c r="J3">
        <v>1</v>
      </c>
      <c r="K3">
        <v>0.6</v>
      </c>
      <c r="L3">
        <v>395</v>
      </c>
      <c r="M3">
        <f t="shared" si="1"/>
        <v>0.75</v>
      </c>
      <c r="P3" s="3"/>
    </row>
    <row r="4" spans="1:16">
      <c r="A4" t="s">
        <v>34</v>
      </c>
      <c r="B4" s="1" t="s">
        <v>35</v>
      </c>
      <c r="C4" t="s">
        <v>36</v>
      </c>
      <c r="D4" t="s">
        <v>37</v>
      </c>
      <c r="E4" t="s">
        <v>38</v>
      </c>
      <c r="F4" t="s">
        <v>39</v>
      </c>
      <c r="G4">
        <v>0.05</v>
      </c>
      <c r="H4">
        <v>1</v>
      </c>
      <c r="I4">
        <f t="shared" si="0"/>
        <v>9.5238095238095233E-2</v>
      </c>
      <c r="J4">
        <v>0.25</v>
      </c>
      <c r="K4">
        <v>0.33300000000000002</v>
      </c>
      <c r="L4">
        <v>394</v>
      </c>
      <c r="M4">
        <f t="shared" si="1"/>
        <v>0.28599999999999998</v>
      </c>
    </row>
    <row r="5" spans="1:16">
      <c r="A5" t="s">
        <v>40</v>
      </c>
      <c r="B5" s="1" t="s">
        <v>41</v>
      </c>
      <c r="C5" t="s">
        <v>42</v>
      </c>
      <c r="D5" t="s">
        <v>43</v>
      </c>
      <c r="E5" t="s">
        <v>44</v>
      </c>
      <c r="F5" t="s">
        <v>45</v>
      </c>
      <c r="G5">
        <v>0.1</v>
      </c>
      <c r="H5">
        <v>1</v>
      </c>
      <c r="I5">
        <f t="shared" si="0"/>
        <v>0.18181818181818182</v>
      </c>
      <c r="J5">
        <v>0.66700000000000004</v>
      </c>
      <c r="K5">
        <v>1</v>
      </c>
      <c r="L5">
        <v>401</v>
      </c>
      <c r="M5">
        <f t="shared" si="1"/>
        <v>0.8</v>
      </c>
      <c r="N5" s="3">
        <f>ROUND(AVERAGE(G2:G94),3)</f>
        <v>9.5000000000000001E-2</v>
      </c>
      <c r="O5" s="3">
        <f>ROUND(AVERAGE(H2:H94),3)</f>
        <v>0.97699999999999998</v>
      </c>
      <c r="P5" s="3">
        <f>ROUND(AVERAGE(I2:I94),3)</f>
        <v>0.17100000000000001</v>
      </c>
    </row>
    <row r="6" spans="1:16">
      <c r="A6" t="s">
        <v>46</v>
      </c>
      <c r="B6" s="1" t="s">
        <v>47</v>
      </c>
      <c r="C6" t="s">
        <v>48</v>
      </c>
      <c r="D6" t="s">
        <v>49</v>
      </c>
      <c r="E6" t="s">
        <v>50</v>
      </c>
      <c r="F6" t="s">
        <v>51</v>
      </c>
      <c r="G6">
        <v>0.1</v>
      </c>
      <c r="H6">
        <v>1</v>
      </c>
      <c r="I6">
        <f t="shared" si="0"/>
        <v>0.18181818181818182</v>
      </c>
      <c r="J6">
        <v>0.4</v>
      </c>
      <c r="K6">
        <v>0.5</v>
      </c>
      <c r="L6">
        <v>340</v>
      </c>
      <c r="M6">
        <f t="shared" si="1"/>
        <v>0.44400000000000001</v>
      </c>
      <c r="O6" t="s">
        <v>52</v>
      </c>
    </row>
    <row r="7" spans="1:16">
      <c r="A7" t="s">
        <v>53</v>
      </c>
      <c r="B7" s="1" t="s">
        <v>54</v>
      </c>
      <c r="C7" t="s">
        <v>55</v>
      </c>
      <c r="D7" t="s">
        <v>56</v>
      </c>
      <c r="E7" t="s">
        <v>57</v>
      </c>
      <c r="F7" t="s">
        <v>39</v>
      </c>
      <c r="G7">
        <v>0.1</v>
      </c>
      <c r="H7">
        <v>1</v>
      </c>
      <c r="I7">
        <f t="shared" si="0"/>
        <v>0.18181818181818182</v>
      </c>
      <c r="J7">
        <v>0.8</v>
      </c>
      <c r="K7">
        <v>0.8</v>
      </c>
      <c r="L7">
        <v>398</v>
      </c>
      <c r="M7">
        <f t="shared" si="1"/>
        <v>0.8</v>
      </c>
      <c r="O7" s="4">
        <f>AVERAGE(L2:L94)</f>
        <v>384.10752688172045</v>
      </c>
    </row>
    <row r="8" spans="1:16">
      <c r="A8" t="s">
        <v>58</v>
      </c>
      <c r="B8" s="1" t="s">
        <v>59</v>
      </c>
      <c r="C8" t="s">
        <v>60</v>
      </c>
      <c r="D8" t="s">
        <v>61</v>
      </c>
      <c r="E8" t="s">
        <v>62</v>
      </c>
      <c r="F8" t="s">
        <v>45</v>
      </c>
      <c r="G8">
        <v>0.05</v>
      </c>
      <c r="H8">
        <v>1</v>
      </c>
      <c r="I8">
        <f t="shared" si="0"/>
        <v>9.5238095238095233E-2</v>
      </c>
      <c r="J8">
        <v>0.5</v>
      </c>
      <c r="K8">
        <v>0.5</v>
      </c>
      <c r="L8">
        <v>392</v>
      </c>
      <c r="M8">
        <f t="shared" si="1"/>
        <v>0.5</v>
      </c>
      <c r="O8" t="s">
        <v>63</v>
      </c>
    </row>
    <row r="9" spans="1:16">
      <c r="A9" t="s">
        <v>64</v>
      </c>
      <c r="B9" s="1" t="s">
        <v>65</v>
      </c>
      <c r="C9" t="s">
        <v>66</v>
      </c>
      <c r="D9" t="s">
        <v>67</v>
      </c>
      <c r="E9" t="s">
        <v>68</v>
      </c>
      <c r="F9" t="s">
        <v>33</v>
      </c>
      <c r="G9">
        <v>0.15</v>
      </c>
      <c r="H9">
        <v>1</v>
      </c>
      <c r="I9">
        <f t="shared" si="0"/>
        <v>0.2608695652173913</v>
      </c>
      <c r="J9">
        <v>0.2</v>
      </c>
      <c r="K9">
        <v>1</v>
      </c>
      <c r="L9">
        <v>392</v>
      </c>
      <c r="M9">
        <f t="shared" si="1"/>
        <v>0.33300000000000002</v>
      </c>
      <c r="O9" s="3">
        <f>_xlfn.STDEV.P(L2:L94)</f>
        <v>24.129784551169049</v>
      </c>
    </row>
    <row r="10" spans="1:16">
      <c r="A10" t="s">
        <v>69</v>
      </c>
      <c r="B10" s="1" t="s">
        <v>70</v>
      </c>
      <c r="C10" t="s">
        <v>71</v>
      </c>
      <c r="D10" t="s">
        <v>72</v>
      </c>
      <c r="E10" t="s">
        <v>73</v>
      </c>
      <c r="F10" t="s">
        <v>74</v>
      </c>
      <c r="G10">
        <v>0.1</v>
      </c>
      <c r="H10">
        <v>1</v>
      </c>
      <c r="I10">
        <f t="shared" si="0"/>
        <v>0.18181818181818182</v>
      </c>
      <c r="J10">
        <v>1</v>
      </c>
      <c r="K10">
        <v>1</v>
      </c>
      <c r="L10">
        <v>392</v>
      </c>
      <c r="M10">
        <f t="shared" si="1"/>
        <v>1</v>
      </c>
    </row>
    <row r="11" spans="1:16">
      <c r="A11" t="s">
        <v>75</v>
      </c>
      <c r="B11" s="1" t="s">
        <v>76</v>
      </c>
      <c r="C11" t="s">
        <v>77</v>
      </c>
      <c r="D11" t="s">
        <v>78</v>
      </c>
      <c r="E11" t="s">
        <v>79</v>
      </c>
      <c r="F11" t="s">
        <v>80</v>
      </c>
      <c r="G11">
        <v>0.16700000000000001</v>
      </c>
      <c r="H11">
        <v>1</v>
      </c>
      <c r="I11">
        <f t="shared" si="0"/>
        <v>0.28620394173093405</v>
      </c>
      <c r="J11">
        <v>0.33300000000000002</v>
      </c>
      <c r="K11">
        <v>0.16700000000000001</v>
      </c>
      <c r="L11">
        <v>300</v>
      </c>
      <c r="M11">
        <f t="shared" si="1"/>
        <v>0.222</v>
      </c>
    </row>
    <row r="12" spans="1:16">
      <c r="A12" t="s">
        <v>81</v>
      </c>
      <c r="B12" s="1" t="s">
        <v>70</v>
      </c>
      <c r="C12" t="s">
        <v>71</v>
      </c>
      <c r="D12" t="s">
        <v>72</v>
      </c>
      <c r="E12" t="s">
        <v>82</v>
      </c>
      <c r="F12" t="s">
        <v>33</v>
      </c>
      <c r="G12">
        <v>0.1</v>
      </c>
      <c r="H12">
        <v>1</v>
      </c>
      <c r="I12">
        <f t="shared" si="0"/>
        <v>0.18181818181818182</v>
      </c>
      <c r="J12">
        <v>0.5</v>
      </c>
      <c r="K12">
        <v>1</v>
      </c>
      <c r="L12">
        <v>398</v>
      </c>
      <c r="M12">
        <f t="shared" si="1"/>
        <v>0.66700000000000004</v>
      </c>
    </row>
    <row r="13" spans="1:16">
      <c r="A13" t="s">
        <v>83</v>
      </c>
      <c r="B13" s="1" t="s">
        <v>41</v>
      </c>
      <c r="C13" t="s">
        <v>84</v>
      </c>
      <c r="D13" t="s">
        <v>85</v>
      </c>
      <c r="E13" t="s">
        <v>86</v>
      </c>
      <c r="F13" t="s">
        <v>33</v>
      </c>
      <c r="G13">
        <v>0.1</v>
      </c>
      <c r="H13">
        <v>1</v>
      </c>
      <c r="I13">
        <f t="shared" si="0"/>
        <v>0.18181818181818182</v>
      </c>
      <c r="J13">
        <v>0.5</v>
      </c>
      <c r="K13">
        <v>0.5</v>
      </c>
      <c r="L13">
        <v>335</v>
      </c>
      <c r="M13">
        <f t="shared" si="1"/>
        <v>0.5</v>
      </c>
    </row>
    <row r="14" spans="1:16">
      <c r="A14" t="s">
        <v>87</v>
      </c>
      <c r="B14" s="1" t="s">
        <v>88</v>
      </c>
      <c r="C14" t="s">
        <v>89</v>
      </c>
      <c r="D14" t="s">
        <v>90</v>
      </c>
      <c r="E14" t="s">
        <v>91</v>
      </c>
      <c r="F14" t="s">
        <v>33</v>
      </c>
      <c r="G14">
        <v>0.05</v>
      </c>
      <c r="H14">
        <v>1</v>
      </c>
      <c r="I14">
        <f t="shared" si="0"/>
        <v>9.5238095238095233E-2</v>
      </c>
      <c r="J14">
        <v>0.42899999999999999</v>
      </c>
      <c r="K14">
        <v>0.6</v>
      </c>
      <c r="L14">
        <v>405</v>
      </c>
      <c r="M14">
        <f t="shared" si="1"/>
        <v>0.5</v>
      </c>
    </row>
    <row r="15" spans="1:16">
      <c r="A15" t="s">
        <v>92</v>
      </c>
      <c r="B15" s="1" t="s">
        <v>93</v>
      </c>
      <c r="C15" t="s">
        <v>30</v>
      </c>
      <c r="D15" t="s">
        <v>31</v>
      </c>
      <c r="E15" t="s">
        <v>94</v>
      </c>
      <c r="F15" t="s">
        <v>33</v>
      </c>
      <c r="G15">
        <v>0.1</v>
      </c>
      <c r="H15">
        <v>1</v>
      </c>
      <c r="I15">
        <f t="shared" si="0"/>
        <v>0.18181818181818182</v>
      </c>
      <c r="J15">
        <v>0.75</v>
      </c>
      <c r="K15">
        <v>0.6</v>
      </c>
      <c r="L15">
        <v>397</v>
      </c>
      <c r="M15">
        <f t="shared" si="1"/>
        <v>0.66700000000000004</v>
      </c>
    </row>
    <row r="16" spans="1:16">
      <c r="A16" t="s">
        <v>95</v>
      </c>
      <c r="B16" s="1" t="s">
        <v>96</v>
      </c>
      <c r="C16" t="s">
        <v>97</v>
      </c>
      <c r="D16" t="s">
        <v>98</v>
      </c>
      <c r="E16" t="s">
        <v>99</v>
      </c>
      <c r="F16" t="s">
        <v>33</v>
      </c>
      <c r="G16">
        <v>0.05</v>
      </c>
      <c r="H16">
        <v>1</v>
      </c>
      <c r="I16">
        <f t="shared" si="0"/>
        <v>9.5238095238095233E-2</v>
      </c>
      <c r="J16">
        <v>0.6</v>
      </c>
      <c r="K16">
        <v>0.5</v>
      </c>
      <c r="L16">
        <v>403</v>
      </c>
      <c r="M16">
        <f t="shared" si="1"/>
        <v>0.54500000000000004</v>
      </c>
    </row>
    <row r="17" spans="1:13">
      <c r="A17" t="s">
        <v>100</v>
      </c>
      <c r="B17" s="1" t="s">
        <v>41</v>
      </c>
      <c r="C17" t="s">
        <v>101</v>
      </c>
      <c r="D17" t="s">
        <v>102</v>
      </c>
      <c r="E17" t="s">
        <v>103</v>
      </c>
      <c r="F17" t="s">
        <v>51</v>
      </c>
      <c r="G17">
        <v>0.1</v>
      </c>
      <c r="H17">
        <v>1</v>
      </c>
      <c r="I17">
        <f t="shared" si="0"/>
        <v>0.18181818181818182</v>
      </c>
      <c r="J17">
        <v>0.6</v>
      </c>
      <c r="K17">
        <v>0.42899999999999999</v>
      </c>
      <c r="L17">
        <v>398</v>
      </c>
      <c r="M17">
        <f t="shared" si="1"/>
        <v>0.5</v>
      </c>
    </row>
    <row r="18" spans="1:13">
      <c r="A18" t="s">
        <v>104</v>
      </c>
      <c r="B18" s="1" t="s">
        <v>41</v>
      </c>
      <c r="C18" t="s">
        <v>105</v>
      </c>
      <c r="D18" t="s">
        <v>106</v>
      </c>
      <c r="E18" t="s">
        <v>107</v>
      </c>
      <c r="F18" t="s">
        <v>33</v>
      </c>
      <c r="G18">
        <v>0.1</v>
      </c>
      <c r="H18">
        <v>1</v>
      </c>
      <c r="I18">
        <f t="shared" si="0"/>
        <v>0.18181818181818182</v>
      </c>
      <c r="J18">
        <v>0</v>
      </c>
      <c r="K18">
        <v>0</v>
      </c>
      <c r="L18">
        <v>402</v>
      </c>
      <c r="M18">
        <f t="shared" si="1"/>
        <v>0</v>
      </c>
    </row>
    <row r="19" spans="1:13">
      <c r="A19" t="s">
        <v>108</v>
      </c>
      <c r="B19" s="1" t="s">
        <v>109</v>
      </c>
      <c r="C19" t="s">
        <v>110</v>
      </c>
      <c r="D19" t="s">
        <v>111</v>
      </c>
      <c r="E19" t="s">
        <v>112</v>
      </c>
      <c r="F19" t="s">
        <v>80</v>
      </c>
      <c r="G19">
        <v>0.15</v>
      </c>
      <c r="H19">
        <v>1</v>
      </c>
      <c r="I19">
        <f t="shared" si="0"/>
        <v>0.2608695652173913</v>
      </c>
      <c r="J19">
        <v>1</v>
      </c>
      <c r="K19">
        <v>0.5</v>
      </c>
      <c r="L19">
        <v>393</v>
      </c>
      <c r="M19">
        <f t="shared" si="1"/>
        <v>0.66700000000000004</v>
      </c>
    </row>
    <row r="20" spans="1:13">
      <c r="A20" t="s">
        <v>113</v>
      </c>
      <c r="B20" s="1" t="s">
        <v>114</v>
      </c>
      <c r="C20" t="s">
        <v>60</v>
      </c>
      <c r="D20" t="s">
        <v>115</v>
      </c>
      <c r="E20" t="s">
        <v>116</v>
      </c>
      <c r="F20" t="s">
        <v>33</v>
      </c>
      <c r="G20">
        <v>0.05</v>
      </c>
      <c r="H20">
        <v>0.5</v>
      </c>
      <c r="I20">
        <f t="shared" si="0"/>
        <v>9.0909090909090912E-2</v>
      </c>
      <c r="J20">
        <v>0.16700000000000001</v>
      </c>
      <c r="K20">
        <v>0.5</v>
      </c>
      <c r="L20">
        <v>402</v>
      </c>
      <c r="M20">
        <f t="shared" si="1"/>
        <v>0.25</v>
      </c>
    </row>
    <row r="21" spans="1:13">
      <c r="A21" t="s">
        <v>117</v>
      </c>
      <c r="B21" s="1" t="s">
        <v>118</v>
      </c>
      <c r="C21" t="s">
        <v>119</v>
      </c>
      <c r="D21" t="s">
        <v>120</v>
      </c>
      <c r="E21" t="s">
        <v>121</v>
      </c>
      <c r="F21" t="s">
        <v>122</v>
      </c>
      <c r="G21">
        <v>0.05</v>
      </c>
      <c r="H21">
        <v>1</v>
      </c>
      <c r="I21">
        <f t="shared" si="0"/>
        <v>9.5238095238095233E-2</v>
      </c>
      <c r="J21">
        <v>1</v>
      </c>
      <c r="K21">
        <v>0.8</v>
      </c>
      <c r="L21">
        <v>394</v>
      </c>
      <c r="M21">
        <f t="shared" si="1"/>
        <v>0.88900000000000001</v>
      </c>
    </row>
    <row r="22" spans="1:13">
      <c r="A22" t="s">
        <v>123</v>
      </c>
      <c r="B22" s="1" t="s">
        <v>124</v>
      </c>
      <c r="C22" t="s">
        <v>125</v>
      </c>
      <c r="D22" t="s">
        <v>126</v>
      </c>
      <c r="E22" t="s">
        <v>127</v>
      </c>
      <c r="F22" t="s">
        <v>39</v>
      </c>
      <c r="G22">
        <v>0.15</v>
      </c>
      <c r="H22">
        <v>1</v>
      </c>
      <c r="I22">
        <f t="shared" si="0"/>
        <v>0.2608695652173913</v>
      </c>
      <c r="J22">
        <v>0.5</v>
      </c>
      <c r="K22">
        <v>0.5</v>
      </c>
      <c r="L22">
        <v>350</v>
      </c>
      <c r="M22">
        <f t="shared" si="1"/>
        <v>0.5</v>
      </c>
    </row>
    <row r="23" spans="1:13">
      <c r="A23" t="s">
        <v>128</v>
      </c>
      <c r="B23" s="1" t="s">
        <v>88</v>
      </c>
      <c r="C23" t="s">
        <v>129</v>
      </c>
      <c r="D23" t="s">
        <v>130</v>
      </c>
      <c r="E23" t="s">
        <v>129</v>
      </c>
      <c r="F23" t="s">
        <v>74</v>
      </c>
      <c r="G23">
        <v>0.05</v>
      </c>
      <c r="H23">
        <v>1</v>
      </c>
      <c r="I23">
        <f t="shared" si="0"/>
        <v>9.5238095238095233E-2</v>
      </c>
      <c r="J23">
        <v>1</v>
      </c>
      <c r="K23">
        <v>1</v>
      </c>
      <c r="L23">
        <v>351</v>
      </c>
      <c r="M23">
        <f t="shared" si="1"/>
        <v>1</v>
      </c>
    </row>
    <row r="24" spans="1:13">
      <c r="A24" t="s">
        <v>131</v>
      </c>
      <c r="B24" s="1" t="s">
        <v>41</v>
      </c>
      <c r="C24" t="s">
        <v>132</v>
      </c>
      <c r="D24" t="s">
        <v>133</v>
      </c>
      <c r="E24" t="s">
        <v>134</v>
      </c>
      <c r="F24" t="s">
        <v>33</v>
      </c>
      <c r="G24">
        <v>0.1</v>
      </c>
      <c r="H24">
        <v>1</v>
      </c>
      <c r="I24">
        <f t="shared" si="0"/>
        <v>0.18181818181818182</v>
      </c>
      <c r="J24">
        <v>0.33300000000000002</v>
      </c>
      <c r="K24">
        <v>0.5</v>
      </c>
      <c r="L24">
        <v>404</v>
      </c>
      <c r="M24">
        <f t="shared" si="1"/>
        <v>0.4</v>
      </c>
    </row>
    <row r="25" spans="1:13">
      <c r="A25" t="s">
        <v>135</v>
      </c>
      <c r="B25" s="1" t="s">
        <v>136</v>
      </c>
      <c r="C25" t="s">
        <v>137</v>
      </c>
      <c r="D25" t="s">
        <v>138</v>
      </c>
      <c r="E25" t="s">
        <v>139</v>
      </c>
      <c r="F25" t="s">
        <v>45</v>
      </c>
      <c r="G25">
        <v>0.15</v>
      </c>
      <c r="H25">
        <v>1</v>
      </c>
      <c r="I25">
        <f t="shared" si="0"/>
        <v>0.2608695652173913</v>
      </c>
      <c r="J25">
        <v>0.5</v>
      </c>
      <c r="K25">
        <v>0.33300000000000002</v>
      </c>
      <c r="L25">
        <v>403</v>
      </c>
      <c r="M25">
        <f t="shared" si="1"/>
        <v>0.4</v>
      </c>
    </row>
    <row r="26" spans="1:13">
      <c r="A26" t="s">
        <v>140</v>
      </c>
      <c r="B26" s="1" t="s">
        <v>41</v>
      </c>
      <c r="C26" t="s">
        <v>71</v>
      </c>
      <c r="D26" t="s">
        <v>141</v>
      </c>
      <c r="E26" t="s">
        <v>73</v>
      </c>
      <c r="F26" t="s">
        <v>74</v>
      </c>
      <c r="G26">
        <v>0.1</v>
      </c>
      <c r="H26">
        <v>1</v>
      </c>
      <c r="I26">
        <f t="shared" si="0"/>
        <v>0.18181818181818182</v>
      </c>
      <c r="J26">
        <v>1</v>
      </c>
      <c r="K26">
        <v>1</v>
      </c>
      <c r="L26">
        <v>342</v>
      </c>
      <c r="M26">
        <f t="shared" si="1"/>
        <v>1</v>
      </c>
    </row>
    <row r="27" spans="1:13">
      <c r="A27" t="s">
        <v>142</v>
      </c>
      <c r="B27" s="1" t="s">
        <v>143</v>
      </c>
      <c r="C27" t="s">
        <v>144</v>
      </c>
      <c r="D27" t="s">
        <v>145</v>
      </c>
      <c r="E27" t="s">
        <v>146</v>
      </c>
      <c r="F27" t="s">
        <v>80</v>
      </c>
      <c r="G27">
        <v>0.05</v>
      </c>
      <c r="H27">
        <v>1</v>
      </c>
      <c r="I27">
        <f t="shared" si="0"/>
        <v>9.5238095238095233E-2</v>
      </c>
      <c r="J27">
        <v>0.6</v>
      </c>
      <c r="K27">
        <v>0.75</v>
      </c>
      <c r="L27">
        <v>382</v>
      </c>
      <c r="M27">
        <f t="shared" si="1"/>
        <v>0.66700000000000004</v>
      </c>
    </row>
    <row r="28" spans="1:13">
      <c r="A28" t="s">
        <v>147</v>
      </c>
      <c r="B28" s="1" t="s">
        <v>88</v>
      </c>
      <c r="C28" t="s">
        <v>148</v>
      </c>
      <c r="D28" t="s">
        <v>149</v>
      </c>
      <c r="E28" t="s">
        <v>150</v>
      </c>
      <c r="F28" t="s">
        <v>80</v>
      </c>
      <c r="G28">
        <v>0.05</v>
      </c>
      <c r="H28">
        <v>1</v>
      </c>
      <c r="I28">
        <f t="shared" si="0"/>
        <v>9.5238095238095233E-2</v>
      </c>
      <c r="J28">
        <v>0.4</v>
      </c>
      <c r="K28">
        <v>1</v>
      </c>
      <c r="L28">
        <v>341</v>
      </c>
      <c r="M28">
        <f t="shared" si="1"/>
        <v>0.57099999999999995</v>
      </c>
    </row>
    <row r="29" spans="1:13">
      <c r="A29" t="s">
        <v>151</v>
      </c>
      <c r="B29" s="1" t="s">
        <v>88</v>
      </c>
      <c r="C29" t="s">
        <v>152</v>
      </c>
      <c r="D29" t="s">
        <v>153</v>
      </c>
      <c r="E29" t="s">
        <v>154</v>
      </c>
      <c r="F29" t="s">
        <v>33</v>
      </c>
      <c r="G29">
        <v>0.05</v>
      </c>
      <c r="H29">
        <v>1</v>
      </c>
      <c r="I29">
        <f t="shared" si="0"/>
        <v>9.5238095238095233E-2</v>
      </c>
      <c r="J29">
        <v>0.16700000000000001</v>
      </c>
      <c r="K29">
        <v>0.33300000000000002</v>
      </c>
      <c r="L29">
        <v>392</v>
      </c>
      <c r="M29">
        <f t="shared" si="1"/>
        <v>0.222</v>
      </c>
    </row>
    <row r="30" spans="1:13">
      <c r="A30" t="s">
        <v>155</v>
      </c>
      <c r="B30" s="1" t="s">
        <v>156</v>
      </c>
      <c r="C30" t="s">
        <v>157</v>
      </c>
      <c r="D30" t="s">
        <v>158</v>
      </c>
      <c r="E30" t="s">
        <v>159</v>
      </c>
      <c r="F30" t="s">
        <v>74</v>
      </c>
      <c r="G30">
        <v>0.15</v>
      </c>
      <c r="H30">
        <v>1</v>
      </c>
      <c r="I30">
        <f t="shared" si="0"/>
        <v>0.2608695652173913</v>
      </c>
      <c r="J30">
        <v>1</v>
      </c>
      <c r="K30">
        <v>1</v>
      </c>
      <c r="L30">
        <v>395</v>
      </c>
      <c r="M30">
        <f t="shared" si="1"/>
        <v>1</v>
      </c>
    </row>
    <row r="31" spans="1:13">
      <c r="A31" t="s">
        <v>160</v>
      </c>
      <c r="B31" s="1" t="s">
        <v>156</v>
      </c>
      <c r="C31" t="s">
        <v>161</v>
      </c>
      <c r="D31" t="s">
        <v>162</v>
      </c>
      <c r="E31" t="s">
        <v>163</v>
      </c>
      <c r="F31" t="s">
        <v>33</v>
      </c>
      <c r="G31">
        <v>0.15</v>
      </c>
      <c r="H31">
        <v>1</v>
      </c>
      <c r="I31">
        <f t="shared" si="0"/>
        <v>0.2608695652173913</v>
      </c>
      <c r="J31">
        <v>0.2</v>
      </c>
      <c r="K31">
        <v>0.5</v>
      </c>
      <c r="L31">
        <v>398</v>
      </c>
      <c r="M31">
        <f t="shared" si="1"/>
        <v>0.28599999999999998</v>
      </c>
    </row>
    <row r="32" spans="1:13">
      <c r="A32" t="s">
        <v>164</v>
      </c>
      <c r="B32" s="1" t="s">
        <v>165</v>
      </c>
      <c r="C32" t="s">
        <v>166</v>
      </c>
      <c r="D32" t="s">
        <v>167</v>
      </c>
      <c r="E32" t="s">
        <v>168</v>
      </c>
      <c r="F32" t="s">
        <v>33</v>
      </c>
      <c r="G32">
        <v>0.15</v>
      </c>
      <c r="H32">
        <v>1</v>
      </c>
      <c r="I32">
        <f t="shared" si="0"/>
        <v>0.2608695652173913</v>
      </c>
      <c r="J32">
        <v>0.2</v>
      </c>
      <c r="K32">
        <v>0.2</v>
      </c>
      <c r="L32">
        <v>398</v>
      </c>
      <c r="M32">
        <f t="shared" si="1"/>
        <v>0.2</v>
      </c>
    </row>
    <row r="33" spans="1:13">
      <c r="A33" s="6" t="s">
        <v>169</v>
      </c>
      <c r="B33" s="1" t="s">
        <v>170</v>
      </c>
      <c r="C33" t="s">
        <v>171</v>
      </c>
      <c r="D33" t="s">
        <v>172</v>
      </c>
      <c r="E33" t="s">
        <v>173</v>
      </c>
      <c r="F33" t="s">
        <v>33</v>
      </c>
      <c r="G33">
        <v>0.1</v>
      </c>
      <c r="H33">
        <v>1</v>
      </c>
      <c r="I33">
        <f t="shared" si="0"/>
        <v>0.18181818181818182</v>
      </c>
      <c r="J33">
        <v>0.66700000000000004</v>
      </c>
      <c r="K33">
        <v>0.8</v>
      </c>
      <c r="L33">
        <v>347</v>
      </c>
      <c r="M33">
        <f t="shared" si="1"/>
        <v>0.72699999999999998</v>
      </c>
    </row>
    <row r="34" spans="1:13">
      <c r="A34" t="s">
        <v>174</v>
      </c>
      <c r="B34" s="1" t="s">
        <v>118</v>
      </c>
      <c r="C34" t="s">
        <v>175</v>
      </c>
      <c r="D34" t="s">
        <v>176</v>
      </c>
      <c r="E34" t="s">
        <v>177</v>
      </c>
      <c r="F34" t="s">
        <v>122</v>
      </c>
      <c r="G34">
        <v>0.05</v>
      </c>
      <c r="H34">
        <v>1</v>
      </c>
      <c r="I34">
        <f t="shared" ref="I34:I65" si="2">IF(G34+H34=0,0,2*G34*H34/(G34+H34))</f>
        <v>9.5238095238095233E-2</v>
      </c>
      <c r="J34">
        <v>0.33300000000000002</v>
      </c>
      <c r="K34">
        <v>0.4</v>
      </c>
      <c r="L34">
        <v>397</v>
      </c>
      <c r="M34">
        <f t="shared" ref="M34:M65" si="3">IF(J34+K34=0,0,ROUND(2*J34*K34/(J34+K34),3))</f>
        <v>0.36299999999999999</v>
      </c>
    </row>
    <row r="35" spans="1:13">
      <c r="A35" t="s">
        <v>178</v>
      </c>
      <c r="B35" s="1" t="s">
        <v>29</v>
      </c>
      <c r="C35" t="s">
        <v>179</v>
      </c>
      <c r="D35" t="s">
        <v>180</v>
      </c>
      <c r="E35" t="s">
        <v>181</v>
      </c>
      <c r="F35" t="s">
        <v>33</v>
      </c>
      <c r="G35">
        <v>0.1</v>
      </c>
      <c r="H35">
        <v>1</v>
      </c>
      <c r="I35">
        <f t="shared" si="2"/>
        <v>0.18181818181818182</v>
      </c>
      <c r="J35">
        <v>0.45500000000000002</v>
      </c>
      <c r="K35">
        <v>0.83299999999999996</v>
      </c>
      <c r="L35">
        <v>361</v>
      </c>
      <c r="M35">
        <f t="shared" si="3"/>
        <v>0.58899999999999997</v>
      </c>
    </row>
    <row r="36" spans="1:13">
      <c r="A36" t="s">
        <v>182</v>
      </c>
      <c r="B36" s="1" t="s">
        <v>183</v>
      </c>
      <c r="C36" t="s">
        <v>184</v>
      </c>
      <c r="D36" t="s">
        <v>185</v>
      </c>
      <c r="E36" t="s">
        <v>186</v>
      </c>
      <c r="F36" t="s">
        <v>187</v>
      </c>
      <c r="G36">
        <v>0.05</v>
      </c>
      <c r="H36">
        <v>1</v>
      </c>
      <c r="I36">
        <f t="shared" si="2"/>
        <v>9.5238095238095233E-2</v>
      </c>
      <c r="J36">
        <v>0.33300000000000002</v>
      </c>
      <c r="K36">
        <v>1</v>
      </c>
      <c r="L36">
        <v>395</v>
      </c>
      <c r="M36">
        <f t="shared" si="3"/>
        <v>0.5</v>
      </c>
    </row>
    <row r="37" spans="1:13">
      <c r="A37" t="s">
        <v>188</v>
      </c>
      <c r="B37" s="1" t="s">
        <v>189</v>
      </c>
      <c r="C37" t="s">
        <v>190</v>
      </c>
      <c r="D37" t="s">
        <v>191</v>
      </c>
      <c r="E37" t="s">
        <v>192</v>
      </c>
      <c r="F37" t="s">
        <v>39</v>
      </c>
      <c r="G37">
        <v>0.1</v>
      </c>
      <c r="H37">
        <v>1</v>
      </c>
      <c r="I37">
        <f t="shared" si="2"/>
        <v>0.18181818181818182</v>
      </c>
      <c r="J37">
        <v>0.5</v>
      </c>
      <c r="K37">
        <v>0.5</v>
      </c>
      <c r="L37">
        <v>395</v>
      </c>
      <c r="M37">
        <f t="shared" si="3"/>
        <v>0.5</v>
      </c>
    </row>
    <row r="38" spans="1:13">
      <c r="A38" t="s">
        <v>193</v>
      </c>
      <c r="B38" s="1" t="s">
        <v>88</v>
      </c>
      <c r="C38" t="s">
        <v>194</v>
      </c>
      <c r="D38" t="s">
        <v>195</v>
      </c>
      <c r="E38" t="s">
        <v>196</v>
      </c>
      <c r="F38" t="s">
        <v>33</v>
      </c>
      <c r="G38">
        <v>0.05</v>
      </c>
      <c r="H38">
        <v>1</v>
      </c>
      <c r="I38">
        <f t="shared" si="2"/>
        <v>9.5238095238095233E-2</v>
      </c>
      <c r="J38">
        <v>0.4</v>
      </c>
      <c r="K38">
        <v>0.66700000000000004</v>
      </c>
      <c r="L38">
        <v>400</v>
      </c>
      <c r="M38">
        <f t="shared" si="3"/>
        <v>0.5</v>
      </c>
    </row>
    <row r="39" spans="1:13">
      <c r="A39" t="s">
        <v>197</v>
      </c>
      <c r="B39" s="1" t="s">
        <v>198</v>
      </c>
      <c r="C39" t="s">
        <v>199</v>
      </c>
      <c r="D39" t="s">
        <v>200</v>
      </c>
      <c r="E39" t="s">
        <v>201</v>
      </c>
      <c r="F39" t="s">
        <v>80</v>
      </c>
      <c r="G39">
        <v>0.105</v>
      </c>
      <c r="H39">
        <v>1</v>
      </c>
      <c r="I39">
        <f t="shared" si="2"/>
        <v>0.19004524886877827</v>
      </c>
      <c r="J39">
        <v>0.2</v>
      </c>
      <c r="K39">
        <v>0.33300000000000002</v>
      </c>
      <c r="L39">
        <v>395</v>
      </c>
      <c r="M39">
        <f t="shared" si="3"/>
        <v>0.25</v>
      </c>
    </row>
    <row r="40" spans="1:13">
      <c r="A40" t="s">
        <v>202</v>
      </c>
      <c r="B40" s="1" t="s">
        <v>203</v>
      </c>
      <c r="C40" t="s">
        <v>204</v>
      </c>
      <c r="D40" t="s">
        <v>205</v>
      </c>
      <c r="E40" t="s">
        <v>206</v>
      </c>
      <c r="F40" t="s">
        <v>51</v>
      </c>
      <c r="G40">
        <v>0.05</v>
      </c>
      <c r="H40">
        <v>1</v>
      </c>
      <c r="I40">
        <f t="shared" si="2"/>
        <v>9.5238095238095233E-2</v>
      </c>
      <c r="J40">
        <v>0.5</v>
      </c>
      <c r="K40">
        <v>0.25</v>
      </c>
      <c r="L40">
        <v>389</v>
      </c>
      <c r="M40">
        <f t="shared" si="3"/>
        <v>0.33300000000000002</v>
      </c>
    </row>
    <row r="41" spans="1:13">
      <c r="A41" t="s">
        <v>207</v>
      </c>
      <c r="B41" s="1" t="s">
        <v>29</v>
      </c>
      <c r="C41" t="s">
        <v>208</v>
      </c>
      <c r="D41" t="s">
        <v>31</v>
      </c>
      <c r="E41" t="s">
        <v>94</v>
      </c>
      <c r="F41" t="s">
        <v>33</v>
      </c>
      <c r="G41">
        <v>0.1</v>
      </c>
      <c r="H41">
        <v>1</v>
      </c>
      <c r="I41">
        <f t="shared" si="2"/>
        <v>0.18181818181818182</v>
      </c>
      <c r="J41">
        <v>0.75</v>
      </c>
      <c r="K41">
        <v>0.75</v>
      </c>
      <c r="L41">
        <v>397</v>
      </c>
      <c r="M41">
        <f t="shared" si="3"/>
        <v>0.75</v>
      </c>
    </row>
    <row r="42" spans="1:13">
      <c r="A42" t="s">
        <v>209</v>
      </c>
      <c r="B42" s="1" t="s">
        <v>210</v>
      </c>
      <c r="C42" t="s">
        <v>211</v>
      </c>
      <c r="D42" t="s">
        <v>212</v>
      </c>
      <c r="E42" t="s">
        <v>213</v>
      </c>
      <c r="F42" t="s">
        <v>45</v>
      </c>
      <c r="G42">
        <v>0.15</v>
      </c>
      <c r="H42">
        <v>1</v>
      </c>
      <c r="I42">
        <f t="shared" si="2"/>
        <v>0.2608695652173913</v>
      </c>
      <c r="J42">
        <v>0</v>
      </c>
      <c r="K42">
        <v>0</v>
      </c>
      <c r="L42">
        <v>390</v>
      </c>
      <c r="M42">
        <f t="shared" si="3"/>
        <v>0</v>
      </c>
    </row>
    <row r="43" spans="1:13">
      <c r="A43" t="s">
        <v>214</v>
      </c>
      <c r="B43" s="1" t="s">
        <v>215</v>
      </c>
      <c r="C43" t="s">
        <v>216</v>
      </c>
      <c r="D43" t="s">
        <v>217</v>
      </c>
      <c r="E43" t="s">
        <v>218</v>
      </c>
      <c r="F43" t="s">
        <v>74</v>
      </c>
      <c r="G43">
        <v>0.1</v>
      </c>
      <c r="H43">
        <v>1</v>
      </c>
      <c r="I43">
        <f t="shared" si="2"/>
        <v>0.18181818181818182</v>
      </c>
      <c r="J43">
        <v>0.33300000000000002</v>
      </c>
      <c r="K43">
        <v>0.2</v>
      </c>
      <c r="L43">
        <v>384</v>
      </c>
      <c r="M43">
        <f t="shared" si="3"/>
        <v>0.25</v>
      </c>
    </row>
    <row r="44" spans="1:13">
      <c r="A44" t="s">
        <v>219</v>
      </c>
      <c r="B44" s="1" t="s">
        <v>41</v>
      </c>
      <c r="C44" t="s">
        <v>220</v>
      </c>
      <c r="D44" t="s">
        <v>221</v>
      </c>
      <c r="E44" t="s">
        <v>222</v>
      </c>
      <c r="F44" t="s">
        <v>39</v>
      </c>
      <c r="G44">
        <v>0.1</v>
      </c>
      <c r="H44">
        <v>1</v>
      </c>
      <c r="I44">
        <f t="shared" si="2"/>
        <v>0.18181818181818182</v>
      </c>
      <c r="J44">
        <v>0.5</v>
      </c>
      <c r="K44">
        <v>0.5</v>
      </c>
      <c r="L44">
        <v>345</v>
      </c>
      <c r="M44">
        <f t="shared" si="3"/>
        <v>0.5</v>
      </c>
    </row>
    <row r="45" spans="1:13">
      <c r="A45" t="s">
        <v>223</v>
      </c>
      <c r="B45" s="1" t="s">
        <v>224</v>
      </c>
      <c r="C45" t="s">
        <v>119</v>
      </c>
      <c r="D45" t="s">
        <v>225</v>
      </c>
      <c r="E45" t="s">
        <v>121</v>
      </c>
      <c r="F45" t="s">
        <v>122</v>
      </c>
      <c r="G45">
        <v>0.1</v>
      </c>
      <c r="H45">
        <v>1</v>
      </c>
      <c r="I45">
        <f t="shared" si="2"/>
        <v>0.18181818181818182</v>
      </c>
      <c r="J45">
        <v>1</v>
      </c>
      <c r="K45">
        <v>0.8</v>
      </c>
      <c r="L45">
        <v>380</v>
      </c>
      <c r="M45">
        <f t="shared" si="3"/>
        <v>0.88900000000000001</v>
      </c>
    </row>
    <row r="46" spans="1:13">
      <c r="A46" t="s">
        <v>226</v>
      </c>
      <c r="B46" s="1" t="s">
        <v>88</v>
      </c>
      <c r="C46" t="s">
        <v>157</v>
      </c>
      <c r="D46" t="s">
        <v>227</v>
      </c>
      <c r="E46" t="s">
        <v>228</v>
      </c>
      <c r="F46" t="s">
        <v>74</v>
      </c>
      <c r="G46">
        <v>0.05</v>
      </c>
      <c r="H46">
        <v>1</v>
      </c>
      <c r="I46">
        <f t="shared" si="2"/>
        <v>9.5238095238095233E-2</v>
      </c>
      <c r="J46">
        <v>0.33300000000000002</v>
      </c>
      <c r="K46">
        <v>0.33300000000000002</v>
      </c>
      <c r="L46">
        <v>397</v>
      </c>
      <c r="M46">
        <f t="shared" si="3"/>
        <v>0.33300000000000002</v>
      </c>
    </row>
    <row r="47" spans="1:13">
      <c r="A47" t="s">
        <v>229</v>
      </c>
      <c r="B47" s="1" t="s">
        <v>230</v>
      </c>
      <c r="C47" t="s">
        <v>231</v>
      </c>
      <c r="D47" t="s">
        <v>232</v>
      </c>
      <c r="E47" t="s">
        <v>233</v>
      </c>
      <c r="F47" t="s">
        <v>33</v>
      </c>
      <c r="G47">
        <v>0.13300000000000001</v>
      </c>
      <c r="H47">
        <v>1</v>
      </c>
      <c r="I47">
        <f t="shared" si="2"/>
        <v>0.23477493380406003</v>
      </c>
      <c r="J47">
        <v>1</v>
      </c>
      <c r="K47">
        <v>0.5</v>
      </c>
      <c r="L47">
        <v>332</v>
      </c>
      <c r="M47">
        <f t="shared" si="3"/>
        <v>0.66700000000000004</v>
      </c>
    </row>
    <row r="48" spans="1:13">
      <c r="A48" t="s">
        <v>234</v>
      </c>
      <c r="B48" s="1" t="s">
        <v>88</v>
      </c>
      <c r="C48" t="s">
        <v>235</v>
      </c>
      <c r="D48" t="s">
        <v>236</v>
      </c>
      <c r="E48" t="s">
        <v>237</v>
      </c>
      <c r="F48" t="s">
        <v>33</v>
      </c>
      <c r="G48">
        <v>0.05</v>
      </c>
      <c r="H48">
        <v>1</v>
      </c>
      <c r="I48">
        <f t="shared" si="2"/>
        <v>9.5238095238095233E-2</v>
      </c>
      <c r="J48">
        <v>1</v>
      </c>
      <c r="K48">
        <v>0.75</v>
      </c>
      <c r="L48">
        <v>392</v>
      </c>
      <c r="M48">
        <f t="shared" si="3"/>
        <v>0.85699999999999998</v>
      </c>
    </row>
    <row r="49" spans="1:13">
      <c r="A49" t="s">
        <v>238</v>
      </c>
      <c r="B49" s="1" t="s">
        <v>215</v>
      </c>
      <c r="C49" t="s">
        <v>239</v>
      </c>
      <c r="D49" t="s">
        <v>240</v>
      </c>
      <c r="E49" t="s">
        <v>159</v>
      </c>
      <c r="F49" t="s">
        <v>74</v>
      </c>
      <c r="G49">
        <v>0.1</v>
      </c>
      <c r="H49">
        <v>1</v>
      </c>
      <c r="I49">
        <f t="shared" si="2"/>
        <v>0.18181818181818182</v>
      </c>
      <c r="J49">
        <v>1</v>
      </c>
      <c r="K49">
        <v>0.75</v>
      </c>
      <c r="L49">
        <v>390</v>
      </c>
      <c r="M49">
        <f t="shared" si="3"/>
        <v>0.85699999999999998</v>
      </c>
    </row>
    <row r="50" spans="1:13">
      <c r="A50" t="s">
        <v>241</v>
      </c>
      <c r="B50" s="1" t="s">
        <v>203</v>
      </c>
      <c r="C50" t="s">
        <v>242</v>
      </c>
      <c r="D50" t="s">
        <v>243</v>
      </c>
      <c r="E50" t="s">
        <v>244</v>
      </c>
      <c r="F50" t="s">
        <v>33</v>
      </c>
      <c r="G50">
        <v>0.05</v>
      </c>
      <c r="H50">
        <v>1</v>
      </c>
      <c r="I50">
        <f t="shared" si="2"/>
        <v>9.5238095238095233E-2</v>
      </c>
      <c r="J50">
        <v>0.5</v>
      </c>
      <c r="K50">
        <v>0.75</v>
      </c>
      <c r="L50">
        <v>397</v>
      </c>
      <c r="M50">
        <f t="shared" si="3"/>
        <v>0.6</v>
      </c>
    </row>
    <row r="51" spans="1:13">
      <c r="A51" t="s">
        <v>245</v>
      </c>
      <c r="B51" s="1" t="s">
        <v>29</v>
      </c>
      <c r="C51" t="s">
        <v>208</v>
      </c>
      <c r="D51" t="s">
        <v>31</v>
      </c>
      <c r="E51" t="s">
        <v>32</v>
      </c>
      <c r="F51" t="s">
        <v>33</v>
      </c>
      <c r="G51">
        <v>0.1</v>
      </c>
      <c r="H51">
        <v>1</v>
      </c>
      <c r="I51">
        <f t="shared" si="2"/>
        <v>0.18181818181818182</v>
      </c>
      <c r="J51">
        <v>0.66700000000000004</v>
      </c>
      <c r="K51">
        <v>0.5</v>
      </c>
      <c r="L51">
        <v>396</v>
      </c>
      <c r="M51">
        <f t="shared" si="3"/>
        <v>0.57199999999999995</v>
      </c>
    </row>
    <row r="52" spans="1:13">
      <c r="A52" t="s">
        <v>246</v>
      </c>
      <c r="B52" s="1" t="s">
        <v>247</v>
      </c>
      <c r="C52" t="s">
        <v>248</v>
      </c>
      <c r="D52" t="s">
        <v>249</v>
      </c>
      <c r="E52" t="s">
        <v>250</v>
      </c>
      <c r="F52" t="s">
        <v>187</v>
      </c>
      <c r="G52">
        <v>0.15</v>
      </c>
      <c r="H52">
        <v>1</v>
      </c>
      <c r="I52">
        <f t="shared" si="2"/>
        <v>0.2608695652173913</v>
      </c>
      <c r="J52">
        <v>0.25</v>
      </c>
      <c r="K52">
        <v>0.25</v>
      </c>
      <c r="L52">
        <v>401</v>
      </c>
      <c r="M52">
        <f t="shared" si="3"/>
        <v>0.25</v>
      </c>
    </row>
    <row r="53" spans="1:13">
      <c r="A53" t="s">
        <v>251</v>
      </c>
      <c r="B53" s="1" t="s">
        <v>47</v>
      </c>
      <c r="C53" t="s">
        <v>252</v>
      </c>
      <c r="D53" t="s">
        <v>253</v>
      </c>
      <c r="E53" t="s">
        <v>254</v>
      </c>
      <c r="F53" t="s">
        <v>27</v>
      </c>
      <c r="G53">
        <v>0.1</v>
      </c>
      <c r="H53">
        <v>1</v>
      </c>
      <c r="I53">
        <f t="shared" si="2"/>
        <v>0.18181818181818182</v>
      </c>
      <c r="J53">
        <v>1</v>
      </c>
      <c r="K53">
        <v>0.5</v>
      </c>
      <c r="L53">
        <v>391</v>
      </c>
      <c r="M53">
        <f t="shared" si="3"/>
        <v>0.66700000000000004</v>
      </c>
    </row>
    <row r="54" spans="1:13">
      <c r="A54" t="s">
        <v>255</v>
      </c>
      <c r="B54" s="1" t="s">
        <v>23</v>
      </c>
      <c r="C54" t="s">
        <v>256</v>
      </c>
      <c r="D54" t="s">
        <v>257</v>
      </c>
      <c r="E54" t="s">
        <v>258</v>
      </c>
      <c r="F54" t="s">
        <v>74</v>
      </c>
      <c r="G54">
        <v>0.1</v>
      </c>
      <c r="H54">
        <v>1</v>
      </c>
      <c r="I54">
        <f t="shared" si="2"/>
        <v>0.18181818181818182</v>
      </c>
      <c r="J54">
        <v>0.5</v>
      </c>
      <c r="K54">
        <v>0.33300000000000002</v>
      </c>
      <c r="L54">
        <v>392</v>
      </c>
      <c r="M54">
        <f t="shared" si="3"/>
        <v>0.4</v>
      </c>
    </row>
    <row r="55" spans="1:13">
      <c r="A55" t="s">
        <v>259</v>
      </c>
      <c r="B55" s="1" t="s">
        <v>143</v>
      </c>
      <c r="C55" t="s">
        <v>260</v>
      </c>
      <c r="D55" t="s">
        <v>261</v>
      </c>
      <c r="E55" t="s">
        <v>262</v>
      </c>
      <c r="F55" t="s">
        <v>80</v>
      </c>
      <c r="G55">
        <v>0.05</v>
      </c>
      <c r="H55">
        <v>1</v>
      </c>
      <c r="I55">
        <f t="shared" si="2"/>
        <v>9.5238095238095233E-2</v>
      </c>
      <c r="J55">
        <v>0.4</v>
      </c>
      <c r="K55">
        <v>0.5</v>
      </c>
      <c r="L55">
        <v>395</v>
      </c>
      <c r="M55">
        <f t="shared" si="3"/>
        <v>0.44400000000000001</v>
      </c>
    </row>
    <row r="56" spans="1:13">
      <c r="A56" t="s">
        <v>263</v>
      </c>
      <c r="B56" s="1" t="s">
        <v>93</v>
      </c>
      <c r="C56" t="s">
        <v>264</v>
      </c>
      <c r="D56" t="s">
        <v>265</v>
      </c>
      <c r="E56" t="s">
        <v>266</v>
      </c>
      <c r="F56" t="s">
        <v>80</v>
      </c>
      <c r="G56">
        <v>0.1</v>
      </c>
      <c r="H56">
        <v>1</v>
      </c>
      <c r="I56">
        <f t="shared" si="2"/>
        <v>0.18181818181818182</v>
      </c>
      <c r="J56">
        <v>0.6</v>
      </c>
      <c r="K56">
        <v>0.75</v>
      </c>
      <c r="L56">
        <v>395</v>
      </c>
      <c r="M56">
        <f t="shared" si="3"/>
        <v>0.66700000000000004</v>
      </c>
    </row>
    <row r="57" spans="1:13">
      <c r="A57" t="s">
        <v>267</v>
      </c>
      <c r="B57" s="1" t="s">
        <v>268</v>
      </c>
      <c r="C57" t="s">
        <v>269</v>
      </c>
      <c r="D57" t="s">
        <v>270</v>
      </c>
      <c r="E57" t="s">
        <v>42</v>
      </c>
      <c r="F57" t="s">
        <v>45</v>
      </c>
      <c r="G57">
        <v>0.15</v>
      </c>
      <c r="H57">
        <v>1</v>
      </c>
      <c r="I57">
        <f t="shared" si="2"/>
        <v>0.2608695652173913</v>
      </c>
      <c r="J57">
        <v>0.5</v>
      </c>
      <c r="K57">
        <v>0.5</v>
      </c>
      <c r="L57">
        <v>397</v>
      </c>
      <c r="M57">
        <f t="shared" si="3"/>
        <v>0.5</v>
      </c>
    </row>
    <row r="58" spans="1:13">
      <c r="A58" t="s">
        <v>271</v>
      </c>
      <c r="B58" s="1" t="s">
        <v>272</v>
      </c>
      <c r="C58" t="s">
        <v>273</v>
      </c>
      <c r="D58" t="s">
        <v>274</v>
      </c>
      <c r="E58" t="s">
        <v>275</v>
      </c>
      <c r="F58" t="s">
        <v>45</v>
      </c>
      <c r="G58">
        <v>0.1</v>
      </c>
      <c r="H58">
        <v>0.66700000000000004</v>
      </c>
      <c r="I58">
        <f t="shared" si="2"/>
        <v>0.17392438070404173</v>
      </c>
      <c r="J58">
        <v>0.5</v>
      </c>
      <c r="K58">
        <v>1</v>
      </c>
      <c r="L58">
        <v>351</v>
      </c>
      <c r="M58">
        <f t="shared" si="3"/>
        <v>0.66700000000000004</v>
      </c>
    </row>
    <row r="59" spans="1:13">
      <c r="A59" t="s">
        <v>276</v>
      </c>
      <c r="B59" s="1" t="s">
        <v>277</v>
      </c>
      <c r="C59" t="s">
        <v>278</v>
      </c>
      <c r="D59" t="s">
        <v>279</v>
      </c>
      <c r="E59" t="s">
        <v>280</v>
      </c>
      <c r="F59" t="s">
        <v>51</v>
      </c>
      <c r="G59">
        <v>0.1</v>
      </c>
      <c r="H59">
        <v>1</v>
      </c>
      <c r="I59">
        <f t="shared" si="2"/>
        <v>0.18181818181818182</v>
      </c>
      <c r="J59">
        <v>0.5</v>
      </c>
      <c r="K59">
        <v>1</v>
      </c>
      <c r="L59">
        <v>343</v>
      </c>
      <c r="M59">
        <f t="shared" si="3"/>
        <v>0.66700000000000004</v>
      </c>
    </row>
    <row r="60" spans="1:13">
      <c r="A60" t="s">
        <v>281</v>
      </c>
      <c r="B60" s="1" t="s">
        <v>29</v>
      </c>
      <c r="C60" t="s">
        <v>264</v>
      </c>
      <c r="D60" t="s">
        <v>282</v>
      </c>
      <c r="E60" t="s">
        <v>283</v>
      </c>
      <c r="F60" t="s">
        <v>80</v>
      </c>
      <c r="G60">
        <v>0.1</v>
      </c>
      <c r="H60">
        <v>1</v>
      </c>
      <c r="I60">
        <f t="shared" si="2"/>
        <v>0.18181818181818182</v>
      </c>
      <c r="J60">
        <v>1</v>
      </c>
      <c r="K60">
        <v>0.75</v>
      </c>
      <c r="L60">
        <v>389</v>
      </c>
      <c r="M60">
        <f t="shared" si="3"/>
        <v>0.85699999999999998</v>
      </c>
    </row>
    <row r="61" spans="1:13">
      <c r="A61" t="s">
        <v>284</v>
      </c>
      <c r="B61" s="1" t="s">
        <v>285</v>
      </c>
      <c r="C61" t="s">
        <v>286</v>
      </c>
      <c r="D61" t="s">
        <v>287</v>
      </c>
      <c r="E61" t="s">
        <v>288</v>
      </c>
      <c r="F61" t="s">
        <v>80</v>
      </c>
      <c r="G61">
        <v>0.1</v>
      </c>
      <c r="H61">
        <v>1</v>
      </c>
      <c r="I61">
        <f t="shared" si="2"/>
        <v>0.18181818181818182</v>
      </c>
      <c r="J61">
        <v>0.66700000000000004</v>
      </c>
      <c r="K61">
        <v>0.5</v>
      </c>
      <c r="L61">
        <v>397</v>
      </c>
      <c r="M61">
        <f t="shared" si="3"/>
        <v>0.57199999999999995</v>
      </c>
    </row>
    <row r="62" spans="1:13">
      <c r="A62" t="s">
        <v>289</v>
      </c>
      <c r="B62" s="1" t="s">
        <v>290</v>
      </c>
      <c r="C62" t="s">
        <v>291</v>
      </c>
      <c r="D62" t="s">
        <v>292</v>
      </c>
      <c r="E62" t="s">
        <v>293</v>
      </c>
      <c r="F62" t="s">
        <v>39</v>
      </c>
      <c r="G62">
        <v>0.1</v>
      </c>
      <c r="H62">
        <v>1</v>
      </c>
      <c r="I62">
        <f t="shared" si="2"/>
        <v>0.18181818181818182</v>
      </c>
      <c r="J62">
        <v>0.2</v>
      </c>
      <c r="K62">
        <v>0.5</v>
      </c>
      <c r="L62">
        <v>409</v>
      </c>
      <c r="M62">
        <f t="shared" si="3"/>
        <v>0.28599999999999998</v>
      </c>
    </row>
    <row r="63" spans="1:13">
      <c r="A63" t="s">
        <v>294</v>
      </c>
      <c r="B63" s="1" t="s">
        <v>88</v>
      </c>
      <c r="C63" t="s">
        <v>295</v>
      </c>
      <c r="D63" t="s">
        <v>296</v>
      </c>
      <c r="E63" t="s">
        <v>297</v>
      </c>
      <c r="F63" t="s">
        <v>33</v>
      </c>
      <c r="G63">
        <v>0.05</v>
      </c>
      <c r="H63">
        <v>1</v>
      </c>
      <c r="I63">
        <f t="shared" si="2"/>
        <v>9.5238095238095233E-2</v>
      </c>
      <c r="J63">
        <v>0.8</v>
      </c>
      <c r="K63">
        <v>0.5</v>
      </c>
      <c r="L63">
        <v>350</v>
      </c>
      <c r="M63">
        <f t="shared" si="3"/>
        <v>0.61499999999999999</v>
      </c>
    </row>
    <row r="64" spans="1:13">
      <c r="A64" t="s">
        <v>298</v>
      </c>
      <c r="B64" s="1" t="s">
        <v>299</v>
      </c>
      <c r="C64" t="s">
        <v>233</v>
      </c>
      <c r="D64" t="s">
        <v>300</v>
      </c>
      <c r="E64" t="s">
        <v>301</v>
      </c>
      <c r="F64" t="s">
        <v>33</v>
      </c>
      <c r="G64">
        <v>0.13300000000000001</v>
      </c>
      <c r="H64">
        <v>0.66700000000000004</v>
      </c>
      <c r="I64">
        <f t="shared" si="2"/>
        <v>0.22177750000000002</v>
      </c>
      <c r="J64">
        <v>0.33300000000000002</v>
      </c>
      <c r="K64">
        <v>0.5</v>
      </c>
      <c r="L64">
        <v>374</v>
      </c>
      <c r="M64">
        <f t="shared" si="3"/>
        <v>0.4</v>
      </c>
    </row>
    <row r="65" spans="1:13">
      <c r="A65" t="s">
        <v>302</v>
      </c>
      <c r="B65" s="1" t="s">
        <v>277</v>
      </c>
      <c r="C65" t="s">
        <v>278</v>
      </c>
      <c r="D65" t="s">
        <v>303</v>
      </c>
      <c r="E65" t="s">
        <v>304</v>
      </c>
      <c r="F65" t="s">
        <v>27</v>
      </c>
      <c r="G65">
        <v>0.1</v>
      </c>
      <c r="H65">
        <v>1</v>
      </c>
      <c r="I65">
        <f t="shared" si="2"/>
        <v>0.18181818181818182</v>
      </c>
      <c r="J65">
        <v>0.5</v>
      </c>
      <c r="K65">
        <v>1</v>
      </c>
      <c r="L65">
        <v>346</v>
      </c>
      <c r="M65">
        <f t="shared" si="3"/>
        <v>0.66700000000000004</v>
      </c>
    </row>
    <row r="66" spans="1:13">
      <c r="A66" t="s">
        <v>305</v>
      </c>
      <c r="B66" s="1" t="s">
        <v>47</v>
      </c>
      <c r="C66" t="s">
        <v>306</v>
      </c>
      <c r="D66" t="s">
        <v>307</v>
      </c>
      <c r="E66" t="s">
        <v>308</v>
      </c>
      <c r="F66" t="s">
        <v>33</v>
      </c>
      <c r="G66">
        <v>0.1</v>
      </c>
      <c r="H66">
        <v>1</v>
      </c>
      <c r="I66">
        <f t="shared" ref="I66:I94" si="4">IF(G66+H66=0,0,2*G66*H66/(G66+H66))</f>
        <v>0.18181818181818182</v>
      </c>
      <c r="J66">
        <v>0.66700000000000004</v>
      </c>
      <c r="K66">
        <v>1</v>
      </c>
      <c r="L66">
        <v>399</v>
      </c>
      <c r="M66">
        <f t="shared" ref="M66:M94" si="5">IF(J66+K66=0,0,ROUND(2*J66*K66/(J66+K66),3))</f>
        <v>0.8</v>
      </c>
    </row>
    <row r="67" spans="1:13">
      <c r="A67" t="s">
        <v>309</v>
      </c>
      <c r="B67" s="1" t="s">
        <v>310</v>
      </c>
      <c r="C67" t="s">
        <v>311</v>
      </c>
      <c r="D67" t="s">
        <v>312</v>
      </c>
      <c r="E67" t="s">
        <v>313</v>
      </c>
      <c r="F67" t="s">
        <v>74</v>
      </c>
      <c r="G67">
        <v>0.05</v>
      </c>
      <c r="H67">
        <v>0.5</v>
      </c>
      <c r="I67">
        <f t="shared" si="4"/>
        <v>9.0909090909090912E-2</v>
      </c>
      <c r="J67">
        <v>1</v>
      </c>
      <c r="K67">
        <v>0.25</v>
      </c>
      <c r="L67">
        <v>389</v>
      </c>
      <c r="M67">
        <f t="shared" si="5"/>
        <v>0.4</v>
      </c>
    </row>
    <row r="68" spans="1:13">
      <c r="A68" t="s">
        <v>314</v>
      </c>
      <c r="B68" s="1" t="s">
        <v>315</v>
      </c>
      <c r="C68" t="s">
        <v>316</v>
      </c>
      <c r="D68" t="s">
        <v>317</v>
      </c>
      <c r="E68" t="s">
        <v>318</v>
      </c>
      <c r="F68" t="s">
        <v>33</v>
      </c>
      <c r="G68">
        <v>0.05</v>
      </c>
      <c r="H68">
        <v>1</v>
      </c>
      <c r="I68">
        <f t="shared" si="4"/>
        <v>9.5238095238095233E-2</v>
      </c>
      <c r="J68">
        <v>0.375</v>
      </c>
      <c r="K68">
        <v>0.75</v>
      </c>
      <c r="L68">
        <v>406</v>
      </c>
      <c r="M68">
        <f t="shared" si="5"/>
        <v>0.5</v>
      </c>
    </row>
    <row r="69" spans="1:13">
      <c r="A69" t="s">
        <v>319</v>
      </c>
      <c r="B69" s="1" t="s">
        <v>320</v>
      </c>
      <c r="C69" t="s">
        <v>321</v>
      </c>
      <c r="D69" t="s">
        <v>322</v>
      </c>
      <c r="E69" t="s">
        <v>323</v>
      </c>
      <c r="F69" t="s">
        <v>80</v>
      </c>
      <c r="G69">
        <v>0.1</v>
      </c>
      <c r="H69">
        <v>1</v>
      </c>
      <c r="I69">
        <f t="shared" si="4"/>
        <v>0.18181818181818182</v>
      </c>
      <c r="J69">
        <v>0.66700000000000004</v>
      </c>
      <c r="K69">
        <v>0.5</v>
      </c>
      <c r="L69">
        <v>327</v>
      </c>
      <c r="M69">
        <f t="shared" si="5"/>
        <v>0.57199999999999995</v>
      </c>
    </row>
    <row r="70" spans="1:13">
      <c r="A70" t="s">
        <v>324</v>
      </c>
      <c r="B70" s="1" t="s">
        <v>29</v>
      </c>
      <c r="C70" t="s">
        <v>325</v>
      </c>
      <c r="D70" t="s">
        <v>326</v>
      </c>
      <c r="E70" t="s">
        <v>327</v>
      </c>
      <c r="F70" t="s">
        <v>33</v>
      </c>
      <c r="G70">
        <v>0.1</v>
      </c>
      <c r="H70">
        <v>1</v>
      </c>
      <c r="I70">
        <f t="shared" si="4"/>
        <v>0.18181818181818182</v>
      </c>
      <c r="J70">
        <v>0.5</v>
      </c>
      <c r="K70">
        <v>0.66700000000000004</v>
      </c>
      <c r="L70">
        <v>408</v>
      </c>
      <c r="M70">
        <f t="shared" si="5"/>
        <v>0.57199999999999995</v>
      </c>
    </row>
    <row r="71" spans="1:13">
      <c r="A71" t="s">
        <v>328</v>
      </c>
      <c r="B71" s="1" t="s">
        <v>47</v>
      </c>
      <c r="C71" t="s">
        <v>148</v>
      </c>
      <c r="D71" t="s">
        <v>329</v>
      </c>
      <c r="E71" t="s">
        <v>330</v>
      </c>
      <c r="F71" t="s">
        <v>33</v>
      </c>
      <c r="G71">
        <v>0.1</v>
      </c>
      <c r="H71">
        <v>1</v>
      </c>
      <c r="I71">
        <f t="shared" si="4"/>
        <v>0.18181818181818182</v>
      </c>
      <c r="J71">
        <v>0.16700000000000001</v>
      </c>
      <c r="K71">
        <v>0.5</v>
      </c>
      <c r="L71">
        <v>343</v>
      </c>
      <c r="M71">
        <f t="shared" si="5"/>
        <v>0.25</v>
      </c>
    </row>
    <row r="72" spans="1:13">
      <c r="A72" t="s">
        <v>40</v>
      </c>
      <c r="B72" s="1" t="s">
        <v>70</v>
      </c>
      <c r="C72" t="s">
        <v>273</v>
      </c>
      <c r="D72" t="s">
        <v>43</v>
      </c>
      <c r="E72" t="s">
        <v>42</v>
      </c>
      <c r="F72" t="s">
        <v>45</v>
      </c>
      <c r="G72">
        <v>0.1</v>
      </c>
      <c r="H72">
        <v>1</v>
      </c>
      <c r="I72">
        <f t="shared" si="4"/>
        <v>0.18181818181818182</v>
      </c>
      <c r="J72">
        <v>0.5</v>
      </c>
      <c r="K72">
        <v>1</v>
      </c>
      <c r="L72">
        <v>397</v>
      </c>
      <c r="M72">
        <f t="shared" si="5"/>
        <v>0.66700000000000004</v>
      </c>
    </row>
    <row r="73" spans="1:13">
      <c r="A73" t="s">
        <v>331</v>
      </c>
      <c r="B73" s="1" t="s">
        <v>70</v>
      </c>
      <c r="C73" t="s">
        <v>332</v>
      </c>
      <c r="D73" t="s">
        <v>333</v>
      </c>
      <c r="E73" t="s">
        <v>334</v>
      </c>
      <c r="F73" t="s">
        <v>74</v>
      </c>
      <c r="G73">
        <v>0.1</v>
      </c>
      <c r="H73">
        <v>1</v>
      </c>
      <c r="I73">
        <f t="shared" si="4"/>
        <v>0.18181818181818182</v>
      </c>
      <c r="J73">
        <v>0.33300000000000002</v>
      </c>
      <c r="K73">
        <v>1</v>
      </c>
      <c r="L73">
        <v>397</v>
      </c>
      <c r="M73">
        <f t="shared" si="5"/>
        <v>0.5</v>
      </c>
    </row>
    <row r="74" spans="1:13">
      <c r="A74" t="s">
        <v>335</v>
      </c>
      <c r="B74" s="1" t="s">
        <v>41</v>
      </c>
      <c r="C74" t="s">
        <v>336</v>
      </c>
      <c r="D74" t="s">
        <v>337</v>
      </c>
      <c r="E74" t="s">
        <v>338</v>
      </c>
      <c r="F74" t="s">
        <v>187</v>
      </c>
      <c r="G74">
        <v>0.1</v>
      </c>
      <c r="H74">
        <v>1</v>
      </c>
      <c r="I74">
        <f t="shared" si="4"/>
        <v>0.18181818181818182</v>
      </c>
      <c r="J74">
        <v>1</v>
      </c>
      <c r="K74">
        <v>0.33300000000000002</v>
      </c>
      <c r="L74">
        <v>398</v>
      </c>
      <c r="M74">
        <f t="shared" si="5"/>
        <v>0.5</v>
      </c>
    </row>
    <row r="75" spans="1:13">
      <c r="A75" t="s">
        <v>339</v>
      </c>
      <c r="B75" s="1" t="s">
        <v>340</v>
      </c>
      <c r="C75" t="s">
        <v>341</v>
      </c>
      <c r="D75" t="s">
        <v>342</v>
      </c>
      <c r="E75" t="s">
        <v>343</v>
      </c>
      <c r="F75" t="s">
        <v>80</v>
      </c>
      <c r="G75">
        <v>0.15</v>
      </c>
      <c r="H75">
        <v>1</v>
      </c>
      <c r="I75">
        <f t="shared" si="4"/>
        <v>0.2608695652173913</v>
      </c>
      <c r="J75">
        <v>0.5</v>
      </c>
      <c r="K75">
        <v>0.4</v>
      </c>
      <c r="L75">
        <v>408</v>
      </c>
      <c r="M75">
        <f t="shared" si="5"/>
        <v>0.44400000000000001</v>
      </c>
    </row>
    <row r="76" spans="1:13">
      <c r="A76" t="s">
        <v>344</v>
      </c>
      <c r="B76" s="1" t="s">
        <v>299</v>
      </c>
      <c r="C76" t="s">
        <v>345</v>
      </c>
      <c r="D76" t="s">
        <v>346</v>
      </c>
      <c r="E76" t="s">
        <v>347</v>
      </c>
      <c r="F76" t="s">
        <v>33</v>
      </c>
      <c r="G76">
        <v>0.15</v>
      </c>
      <c r="H76">
        <v>1</v>
      </c>
      <c r="I76">
        <f t="shared" si="4"/>
        <v>0.2608695652173913</v>
      </c>
      <c r="J76">
        <v>0</v>
      </c>
      <c r="K76">
        <v>0</v>
      </c>
      <c r="L76">
        <v>398</v>
      </c>
      <c r="M76">
        <f t="shared" si="5"/>
        <v>0</v>
      </c>
    </row>
    <row r="77" spans="1:13">
      <c r="A77" t="s">
        <v>348</v>
      </c>
      <c r="B77" s="1" t="s">
        <v>315</v>
      </c>
      <c r="C77" t="s">
        <v>349</v>
      </c>
      <c r="D77" t="s">
        <v>350</v>
      </c>
      <c r="E77" t="s">
        <v>351</v>
      </c>
      <c r="F77" t="s">
        <v>352</v>
      </c>
      <c r="G77">
        <v>0.05</v>
      </c>
      <c r="H77">
        <v>1</v>
      </c>
      <c r="I77">
        <f t="shared" si="4"/>
        <v>9.5238095238095233E-2</v>
      </c>
      <c r="J77">
        <v>0.5</v>
      </c>
      <c r="K77">
        <v>0.33300000000000002</v>
      </c>
      <c r="L77">
        <v>341</v>
      </c>
      <c r="M77">
        <f t="shared" si="5"/>
        <v>0.4</v>
      </c>
    </row>
    <row r="78" spans="1:13">
      <c r="A78" t="s">
        <v>353</v>
      </c>
      <c r="B78" s="1" t="s">
        <v>354</v>
      </c>
      <c r="C78" t="s">
        <v>355</v>
      </c>
      <c r="D78" t="s">
        <v>172</v>
      </c>
      <c r="E78" t="s">
        <v>356</v>
      </c>
      <c r="F78" t="s">
        <v>80</v>
      </c>
      <c r="G78">
        <v>0.15</v>
      </c>
      <c r="H78">
        <v>1</v>
      </c>
      <c r="I78">
        <f t="shared" si="4"/>
        <v>0.2608695652173913</v>
      </c>
      <c r="J78">
        <v>0.4</v>
      </c>
      <c r="K78">
        <v>1</v>
      </c>
      <c r="L78">
        <v>345</v>
      </c>
      <c r="M78">
        <f t="shared" si="5"/>
        <v>0.57099999999999995</v>
      </c>
    </row>
    <row r="79" spans="1:13">
      <c r="A79" t="s">
        <v>357</v>
      </c>
      <c r="B79" s="1" t="s">
        <v>29</v>
      </c>
      <c r="C79" t="s">
        <v>358</v>
      </c>
      <c r="D79" t="s">
        <v>31</v>
      </c>
      <c r="E79" t="s">
        <v>32</v>
      </c>
      <c r="F79" t="s">
        <v>33</v>
      </c>
      <c r="G79">
        <v>0.1</v>
      </c>
      <c r="H79">
        <v>1</v>
      </c>
      <c r="I79">
        <f t="shared" si="4"/>
        <v>0.18181818181818182</v>
      </c>
      <c r="J79">
        <v>0.66700000000000004</v>
      </c>
      <c r="K79">
        <v>0.5</v>
      </c>
      <c r="L79">
        <v>395</v>
      </c>
      <c r="M79">
        <f t="shared" si="5"/>
        <v>0.57199999999999995</v>
      </c>
    </row>
    <row r="80" spans="1:13">
      <c r="A80" t="s">
        <v>359</v>
      </c>
      <c r="B80" s="1" t="s">
        <v>360</v>
      </c>
      <c r="C80" t="s">
        <v>361</v>
      </c>
      <c r="D80" t="s">
        <v>362</v>
      </c>
      <c r="E80" t="s">
        <v>363</v>
      </c>
      <c r="F80" t="s">
        <v>33</v>
      </c>
      <c r="G80">
        <v>0.1</v>
      </c>
      <c r="H80">
        <v>1</v>
      </c>
      <c r="I80">
        <f t="shared" si="4"/>
        <v>0.18181818181818182</v>
      </c>
      <c r="J80">
        <v>0.5</v>
      </c>
      <c r="K80">
        <v>0.5</v>
      </c>
      <c r="L80">
        <v>403</v>
      </c>
      <c r="M80">
        <f t="shared" si="5"/>
        <v>0.5</v>
      </c>
    </row>
    <row r="81" spans="1:13">
      <c r="A81" s="6" t="s">
        <v>364</v>
      </c>
      <c r="B81" s="1" t="s">
        <v>365</v>
      </c>
      <c r="C81" t="s">
        <v>355</v>
      </c>
      <c r="D81" t="s">
        <v>366</v>
      </c>
      <c r="E81" t="s">
        <v>367</v>
      </c>
      <c r="F81" t="s">
        <v>80</v>
      </c>
      <c r="G81">
        <v>0.1</v>
      </c>
      <c r="H81">
        <v>1</v>
      </c>
      <c r="I81">
        <f t="shared" si="4"/>
        <v>0.18181818181818182</v>
      </c>
      <c r="J81">
        <v>0.28599999999999998</v>
      </c>
      <c r="K81">
        <v>1</v>
      </c>
      <c r="L81">
        <v>400</v>
      </c>
      <c r="M81">
        <f t="shared" si="5"/>
        <v>0.44500000000000001</v>
      </c>
    </row>
    <row r="82" spans="1:13">
      <c r="A82" t="s">
        <v>368</v>
      </c>
      <c r="B82" s="1" t="s">
        <v>369</v>
      </c>
      <c r="C82" t="s">
        <v>370</v>
      </c>
      <c r="D82" t="s">
        <v>371</v>
      </c>
      <c r="E82" t="s">
        <v>372</v>
      </c>
      <c r="F82" t="s">
        <v>80</v>
      </c>
      <c r="G82">
        <v>0.1</v>
      </c>
      <c r="H82">
        <v>1</v>
      </c>
      <c r="I82">
        <f t="shared" si="4"/>
        <v>0.18181818181818182</v>
      </c>
      <c r="J82">
        <v>1</v>
      </c>
      <c r="K82">
        <v>0.75</v>
      </c>
      <c r="L82">
        <v>396</v>
      </c>
      <c r="M82">
        <f t="shared" si="5"/>
        <v>0.85699999999999998</v>
      </c>
    </row>
    <row r="83" spans="1:13">
      <c r="A83" t="s">
        <v>373</v>
      </c>
      <c r="B83" s="1" t="s">
        <v>374</v>
      </c>
      <c r="C83" t="s">
        <v>375</v>
      </c>
      <c r="D83" t="s">
        <v>376</v>
      </c>
      <c r="E83" t="s">
        <v>377</v>
      </c>
      <c r="F83" t="s">
        <v>45</v>
      </c>
      <c r="G83">
        <v>0.15</v>
      </c>
      <c r="H83">
        <v>1</v>
      </c>
      <c r="I83">
        <f t="shared" si="4"/>
        <v>0.2608695652173913</v>
      </c>
      <c r="J83">
        <v>0.5</v>
      </c>
      <c r="K83">
        <v>0.66700000000000004</v>
      </c>
      <c r="L83">
        <v>392</v>
      </c>
      <c r="M83">
        <f t="shared" si="5"/>
        <v>0.57199999999999995</v>
      </c>
    </row>
    <row r="84" spans="1:13">
      <c r="A84" t="s">
        <v>378</v>
      </c>
      <c r="B84" s="1" t="s">
        <v>230</v>
      </c>
      <c r="C84" t="s">
        <v>379</v>
      </c>
      <c r="D84" t="s">
        <v>380</v>
      </c>
      <c r="E84" t="s">
        <v>381</v>
      </c>
      <c r="F84" t="s">
        <v>33</v>
      </c>
      <c r="G84">
        <v>0.1</v>
      </c>
      <c r="H84">
        <v>1</v>
      </c>
      <c r="I84">
        <f t="shared" si="4"/>
        <v>0.18181818181818182</v>
      </c>
      <c r="J84">
        <v>0.2</v>
      </c>
      <c r="K84">
        <v>0.25</v>
      </c>
      <c r="L84">
        <v>403</v>
      </c>
      <c r="M84">
        <f t="shared" si="5"/>
        <v>0.222</v>
      </c>
    </row>
    <row r="85" spans="1:13">
      <c r="A85" t="s">
        <v>382</v>
      </c>
      <c r="B85" s="1" t="s">
        <v>41</v>
      </c>
      <c r="C85" t="s">
        <v>383</v>
      </c>
      <c r="D85" t="s">
        <v>384</v>
      </c>
      <c r="E85" t="s">
        <v>385</v>
      </c>
      <c r="G85">
        <v>0.1</v>
      </c>
      <c r="H85">
        <v>1</v>
      </c>
      <c r="I85">
        <f t="shared" si="4"/>
        <v>0.18181818181818182</v>
      </c>
      <c r="J85">
        <v>0</v>
      </c>
      <c r="K85">
        <v>0</v>
      </c>
      <c r="L85">
        <v>405</v>
      </c>
      <c r="M85">
        <f t="shared" si="5"/>
        <v>0</v>
      </c>
    </row>
    <row r="86" spans="1:13">
      <c r="A86" t="s">
        <v>386</v>
      </c>
      <c r="B86" s="1" t="s">
        <v>70</v>
      </c>
      <c r="C86" t="s">
        <v>387</v>
      </c>
      <c r="D86" t="s">
        <v>388</v>
      </c>
      <c r="E86" t="s">
        <v>389</v>
      </c>
      <c r="F86" t="s">
        <v>80</v>
      </c>
      <c r="G86">
        <v>0.1</v>
      </c>
      <c r="H86">
        <v>1</v>
      </c>
      <c r="I86">
        <f t="shared" si="4"/>
        <v>0.18181818181818182</v>
      </c>
      <c r="J86">
        <v>0.33300000000000002</v>
      </c>
      <c r="K86">
        <v>0.2</v>
      </c>
      <c r="L86">
        <v>352</v>
      </c>
      <c r="M86">
        <f t="shared" si="5"/>
        <v>0.25</v>
      </c>
    </row>
    <row r="87" spans="1:13">
      <c r="A87" t="s">
        <v>390</v>
      </c>
      <c r="B87" s="1" t="s">
        <v>41</v>
      </c>
      <c r="C87" t="s">
        <v>391</v>
      </c>
      <c r="D87" t="s">
        <v>392</v>
      </c>
      <c r="E87" t="s">
        <v>393</v>
      </c>
      <c r="F87" t="s">
        <v>33</v>
      </c>
      <c r="G87">
        <v>0.1</v>
      </c>
      <c r="H87">
        <v>1</v>
      </c>
      <c r="I87">
        <f t="shared" si="4"/>
        <v>0.18181818181818182</v>
      </c>
      <c r="J87">
        <v>1</v>
      </c>
      <c r="K87">
        <v>0.75</v>
      </c>
      <c r="L87">
        <v>403</v>
      </c>
      <c r="M87">
        <f t="shared" si="5"/>
        <v>0.85699999999999998</v>
      </c>
    </row>
    <row r="88" spans="1:13">
      <c r="A88" t="s">
        <v>394</v>
      </c>
      <c r="B88" s="1" t="s">
        <v>395</v>
      </c>
      <c r="C88" t="s">
        <v>396</v>
      </c>
      <c r="D88" t="s">
        <v>397</v>
      </c>
      <c r="E88" t="s">
        <v>398</v>
      </c>
      <c r="F88" t="s">
        <v>74</v>
      </c>
      <c r="G88">
        <v>0.15</v>
      </c>
      <c r="H88">
        <v>1</v>
      </c>
      <c r="I88">
        <f t="shared" si="4"/>
        <v>0.2608695652173913</v>
      </c>
      <c r="J88">
        <v>0.5</v>
      </c>
      <c r="K88">
        <v>0.33300000000000002</v>
      </c>
      <c r="L88">
        <v>393</v>
      </c>
      <c r="M88">
        <f t="shared" si="5"/>
        <v>0.4</v>
      </c>
    </row>
    <row r="89" spans="1:13">
      <c r="A89" t="s">
        <v>399</v>
      </c>
      <c r="B89" s="1" t="s">
        <v>59</v>
      </c>
      <c r="C89" t="s">
        <v>400</v>
      </c>
      <c r="D89" t="s">
        <v>401</v>
      </c>
      <c r="E89" t="s">
        <v>402</v>
      </c>
      <c r="F89" t="s">
        <v>122</v>
      </c>
      <c r="G89">
        <v>0.05</v>
      </c>
      <c r="H89">
        <v>1</v>
      </c>
      <c r="I89">
        <f t="shared" si="4"/>
        <v>9.5238095238095233E-2</v>
      </c>
      <c r="J89">
        <v>0.33300000000000002</v>
      </c>
      <c r="K89">
        <v>1</v>
      </c>
      <c r="L89">
        <v>401</v>
      </c>
      <c r="M89">
        <f t="shared" si="5"/>
        <v>0.5</v>
      </c>
    </row>
    <row r="90" spans="1:13">
      <c r="A90" t="s">
        <v>335</v>
      </c>
      <c r="B90" s="1" t="s">
        <v>41</v>
      </c>
      <c r="C90" t="s">
        <v>336</v>
      </c>
      <c r="D90" t="s">
        <v>337</v>
      </c>
      <c r="E90" t="s">
        <v>338</v>
      </c>
      <c r="F90" t="s">
        <v>187</v>
      </c>
      <c r="G90">
        <v>0.1</v>
      </c>
      <c r="H90">
        <v>1</v>
      </c>
      <c r="I90">
        <f t="shared" si="4"/>
        <v>0.18181818181818182</v>
      </c>
      <c r="J90">
        <v>1</v>
      </c>
      <c r="K90">
        <v>0.33300000000000002</v>
      </c>
      <c r="L90">
        <v>398</v>
      </c>
      <c r="M90">
        <f t="shared" si="5"/>
        <v>0.5</v>
      </c>
    </row>
    <row r="91" spans="1:13">
      <c r="A91" t="s">
        <v>403</v>
      </c>
      <c r="B91" s="1" t="s">
        <v>230</v>
      </c>
      <c r="C91" t="s">
        <v>404</v>
      </c>
      <c r="D91" t="s">
        <v>405</v>
      </c>
      <c r="E91" t="s">
        <v>406</v>
      </c>
      <c r="F91" t="s">
        <v>39</v>
      </c>
      <c r="G91">
        <v>0.05</v>
      </c>
      <c r="H91">
        <v>0.5</v>
      </c>
      <c r="I91">
        <f t="shared" si="4"/>
        <v>9.0909090909090912E-2</v>
      </c>
      <c r="J91">
        <v>0.5</v>
      </c>
      <c r="K91">
        <v>0.2</v>
      </c>
      <c r="L91">
        <v>395</v>
      </c>
      <c r="M91">
        <f t="shared" si="5"/>
        <v>0.28599999999999998</v>
      </c>
    </row>
    <row r="92" spans="1:13">
      <c r="A92" t="s">
        <v>407</v>
      </c>
      <c r="B92" s="1" t="s">
        <v>35</v>
      </c>
      <c r="C92" t="s">
        <v>408</v>
      </c>
      <c r="D92" t="s">
        <v>37</v>
      </c>
      <c r="E92" t="s">
        <v>409</v>
      </c>
      <c r="F92" t="s">
        <v>39</v>
      </c>
      <c r="G92">
        <v>0.05</v>
      </c>
      <c r="H92">
        <v>1</v>
      </c>
      <c r="I92">
        <f t="shared" si="4"/>
        <v>9.5238095238095233E-2</v>
      </c>
      <c r="J92">
        <v>0.5</v>
      </c>
      <c r="K92">
        <v>1</v>
      </c>
      <c r="L92">
        <v>398</v>
      </c>
      <c r="M92">
        <f t="shared" si="5"/>
        <v>0.66700000000000004</v>
      </c>
    </row>
    <row r="93" spans="1:13">
      <c r="A93" t="s">
        <v>410</v>
      </c>
      <c r="B93" s="1" t="s">
        <v>59</v>
      </c>
      <c r="C93" t="s">
        <v>400</v>
      </c>
      <c r="D93" t="s">
        <v>411</v>
      </c>
      <c r="E93" t="s">
        <v>412</v>
      </c>
      <c r="F93" t="s">
        <v>122</v>
      </c>
      <c r="G93">
        <v>0.05</v>
      </c>
      <c r="H93">
        <v>1</v>
      </c>
      <c r="I93">
        <f t="shared" si="4"/>
        <v>9.5238095238095233E-2</v>
      </c>
      <c r="J93">
        <v>0.28599999999999998</v>
      </c>
      <c r="K93">
        <v>1</v>
      </c>
      <c r="L93">
        <v>407</v>
      </c>
      <c r="M93">
        <f t="shared" si="5"/>
        <v>0.44500000000000001</v>
      </c>
    </row>
    <row r="94" spans="1:13">
      <c r="A94" t="s">
        <v>413</v>
      </c>
      <c r="B94" s="1" t="s">
        <v>88</v>
      </c>
      <c r="C94" t="s">
        <v>278</v>
      </c>
      <c r="D94" t="s">
        <v>414</v>
      </c>
      <c r="E94" t="s">
        <v>278</v>
      </c>
      <c r="F94" t="s">
        <v>27</v>
      </c>
      <c r="G94">
        <v>0.05</v>
      </c>
      <c r="H94">
        <v>1</v>
      </c>
      <c r="I94">
        <f t="shared" si="4"/>
        <v>9.5238095238095233E-2</v>
      </c>
      <c r="J94">
        <v>1</v>
      </c>
      <c r="K94">
        <v>1</v>
      </c>
      <c r="L94">
        <v>391</v>
      </c>
      <c r="M94">
        <f t="shared" si="5"/>
        <v>1</v>
      </c>
    </row>
  </sheetData>
  <autoFilter ref="M1:M94" xr:uid="{00000000-0009-0000-0000-000001000000}"/>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94"/>
  <sheetViews>
    <sheetView zoomScale="70" zoomScaleNormal="70" workbookViewId="0">
      <selection activeCell="N5" sqref="N5"/>
    </sheetView>
  </sheetViews>
  <sheetFormatPr defaultRowHeight="18"/>
  <cols>
    <col min="1" max="1" width="86.08203125" customWidth="1"/>
    <col min="2" max="2" width="12.6640625" customWidth="1"/>
    <col min="3" max="3" width="11.4140625" customWidth="1"/>
    <col min="4" max="4" width="13.5" customWidth="1"/>
    <col min="5" max="5" width="38.1640625" customWidth="1"/>
    <col min="7" max="7" width="11.08203125" customWidth="1"/>
    <col min="8" max="8" width="10.9140625" customWidth="1"/>
    <col min="12" max="12" width="9.25" bestFit="1" customWidth="1"/>
    <col min="13" max="13" width="9.58203125" bestFit="1" customWidth="1"/>
    <col min="14" max="14" width="19.1640625" customWidth="1"/>
    <col min="15" max="15" width="17.4140625" customWidth="1"/>
    <col min="16" max="16" width="13.1640625" bestFit="1" customWidth="1"/>
  </cols>
  <sheetData>
    <row r="1" spans="1:16">
      <c r="A1" t="s">
        <v>9</v>
      </c>
      <c r="B1" t="s">
        <v>10</v>
      </c>
      <c r="C1" t="s">
        <v>11</v>
      </c>
      <c r="D1" t="s">
        <v>12</v>
      </c>
      <c r="E1" t="s">
        <v>13</v>
      </c>
      <c r="F1" t="s">
        <v>14</v>
      </c>
      <c r="G1" t="s">
        <v>15</v>
      </c>
      <c r="H1" t="s">
        <v>16</v>
      </c>
      <c r="I1" t="s">
        <v>17</v>
      </c>
      <c r="J1" t="s">
        <v>18</v>
      </c>
      <c r="K1" t="s">
        <v>19</v>
      </c>
      <c r="L1" t="s">
        <v>20</v>
      </c>
      <c r="M1" t="s">
        <v>21</v>
      </c>
      <c r="N1" t="s">
        <v>1</v>
      </c>
      <c r="O1" t="s">
        <v>2</v>
      </c>
      <c r="P1" s="3" t="s">
        <v>3</v>
      </c>
    </row>
    <row r="2" spans="1:16">
      <c r="A2" t="s">
        <v>22</v>
      </c>
      <c r="B2" s="1" t="s">
        <v>23</v>
      </c>
      <c r="C2" t="s">
        <v>24</v>
      </c>
      <c r="D2" t="s">
        <v>415</v>
      </c>
      <c r="E2" t="s">
        <v>26</v>
      </c>
      <c r="F2" t="s">
        <v>27</v>
      </c>
      <c r="G2">
        <v>0.13300000000000001</v>
      </c>
      <c r="H2">
        <v>1</v>
      </c>
      <c r="I2">
        <f t="shared" ref="I2:I33" si="0">IF(G2+H2=0,0,2*G2*H2/(G2+H2))</f>
        <v>0.23477493380406003</v>
      </c>
      <c r="J2">
        <v>1</v>
      </c>
      <c r="K2">
        <v>0.33300000000000002</v>
      </c>
      <c r="L2">
        <v>317</v>
      </c>
      <c r="M2">
        <f t="shared" ref="M2:M33" si="1">IF(J2+K2=0,0,ROUND(2*J2*K2/(J2+K2),3))</f>
        <v>0.5</v>
      </c>
      <c r="N2" s="3">
        <f>ROUND(AVERAGE(J2:J94),3)</f>
        <v>0.58299999999999996</v>
      </c>
      <c r="O2" s="3">
        <f>ROUND(AVERAGE(K2:K94),3)</f>
        <v>0.627</v>
      </c>
      <c r="P2" s="3">
        <f>SUM(M2:M94)/93</f>
        <v>0.55205376344086032</v>
      </c>
    </row>
    <row r="3" spans="1:16">
      <c r="A3" t="s">
        <v>28</v>
      </c>
      <c r="B3" s="1" t="s">
        <v>29</v>
      </c>
      <c r="C3" t="s">
        <v>30</v>
      </c>
      <c r="D3" t="s">
        <v>416</v>
      </c>
      <c r="E3" t="s">
        <v>32</v>
      </c>
      <c r="F3" t="s">
        <v>417</v>
      </c>
      <c r="G3">
        <v>0.16700000000000001</v>
      </c>
      <c r="H3">
        <v>1</v>
      </c>
      <c r="I3">
        <f t="shared" si="0"/>
        <v>0.28620394173093405</v>
      </c>
      <c r="J3">
        <v>1</v>
      </c>
      <c r="K3">
        <v>0.6</v>
      </c>
      <c r="L3">
        <v>298</v>
      </c>
      <c r="M3">
        <f t="shared" si="1"/>
        <v>0.75</v>
      </c>
      <c r="P3" s="3"/>
    </row>
    <row r="4" spans="1:16">
      <c r="A4" t="s">
        <v>34</v>
      </c>
      <c r="B4" s="1" t="s">
        <v>35</v>
      </c>
      <c r="C4" t="s">
        <v>36</v>
      </c>
      <c r="D4" t="s">
        <v>418</v>
      </c>
      <c r="E4" t="s">
        <v>419</v>
      </c>
      <c r="F4" t="s">
        <v>39</v>
      </c>
      <c r="G4">
        <v>0.125</v>
      </c>
      <c r="H4">
        <v>1</v>
      </c>
      <c r="I4">
        <f t="shared" si="0"/>
        <v>0.22222222222222221</v>
      </c>
      <c r="J4">
        <v>0.4</v>
      </c>
      <c r="K4">
        <v>0.66700000000000004</v>
      </c>
      <c r="L4">
        <v>239</v>
      </c>
      <c r="M4">
        <f t="shared" si="1"/>
        <v>0.5</v>
      </c>
    </row>
    <row r="5" spans="1:16">
      <c r="A5" t="s">
        <v>40</v>
      </c>
      <c r="B5" s="1" t="s">
        <v>41</v>
      </c>
      <c r="C5" t="s">
        <v>42</v>
      </c>
      <c r="D5" t="s">
        <v>420</v>
      </c>
      <c r="E5" t="s">
        <v>421</v>
      </c>
      <c r="F5" t="s">
        <v>45</v>
      </c>
      <c r="G5">
        <v>0.33300000000000002</v>
      </c>
      <c r="H5">
        <v>1</v>
      </c>
      <c r="I5">
        <f t="shared" si="0"/>
        <v>0.4996249062265567</v>
      </c>
      <c r="J5">
        <v>0.33300000000000002</v>
      </c>
      <c r="K5">
        <v>0.5</v>
      </c>
      <c r="L5">
        <v>317</v>
      </c>
      <c r="M5">
        <f t="shared" si="1"/>
        <v>0.4</v>
      </c>
      <c r="N5" s="3">
        <f>ROUND(AVERAGE(G2:G94),3)</f>
        <v>0.20499999999999999</v>
      </c>
      <c r="O5" s="3">
        <f>ROUND(AVERAGE(H2:H94),3)</f>
        <v>0.83899999999999997</v>
      </c>
      <c r="P5" s="3">
        <f>ROUND(AVERAGE(I2:I94),3)</f>
        <v>0.28999999999999998</v>
      </c>
    </row>
    <row r="6" spans="1:16">
      <c r="A6" t="s">
        <v>46</v>
      </c>
      <c r="B6" s="1" t="s">
        <v>47</v>
      </c>
      <c r="C6" t="s">
        <v>48</v>
      </c>
      <c r="D6" t="s">
        <v>422</v>
      </c>
      <c r="E6" t="s">
        <v>423</v>
      </c>
      <c r="F6" t="s">
        <v>424</v>
      </c>
      <c r="G6">
        <v>0.154</v>
      </c>
      <c r="H6">
        <v>1</v>
      </c>
      <c r="I6">
        <f t="shared" si="0"/>
        <v>0.26689774696707108</v>
      </c>
      <c r="J6">
        <v>0.33300000000000002</v>
      </c>
      <c r="K6">
        <v>0.5</v>
      </c>
      <c r="L6">
        <v>300</v>
      </c>
      <c r="M6">
        <f t="shared" si="1"/>
        <v>0.4</v>
      </c>
      <c r="O6" t="s">
        <v>52</v>
      </c>
    </row>
    <row r="7" spans="1:16">
      <c r="A7" t="s">
        <v>53</v>
      </c>
      <c r="B7" s="1" t="s">
        <v>54</v>
      </c>
      <c r="C7" t="s">
        <v>55</v>
      </c>
      <c r="D7" t="s">
        <v>425</v>
      </c>
      <c r="E7" t="s">
        <v>426</v>
      </c>
      <c r="F7" t="s">
        <v>39</v>
      </c>
      <c r="G7">
        <v>0.14299999999999999</v>
      </c>
      <c r="H7">
        <v>1</v>
      </c>
      <c r="I7">
        <f t="shared" si="0"/>
        <v>0.25021872265966749</v>
      </c>
      <c r="J7">
        <v>0.6</v>
      </c>
      <c r="K7">
        <v>0.6</v>
      </c>
      <c r="L7">
        <v>315</v>
      </c>
      <c r="M7">
        <f t="shared" si="1"/>
        <v>0.6</v>
      </c>
      <c r="O7" s="4">
        <f>AVERAGE(L2:L94)</f>
        <v>281.03225806451616</v>
      </c>
    </row>
    <row r="8" spans="1:16">
      <c r="A8" t="s">
        <v>58</v>
      </c>
      <c r="B8" s="1" t="s">
        <v>59</v>
      </c>
      <c r="C8" t="s">
        <v>60</v>
      </c>
      <c r="D8" t="s">
        <v>427</v>
      </c>
      <c r="E8" t="s">
        <v>428</v>
      </c>
      <c r="F8" t="s">
        <v>429</v>
      </c>
      <c r="G8">
        <v>0.16700000000000001</v>
      </c>
      <c r="H8">
        <v>1</v>
      </c>
      <c r="I8">
        <f t="shared" si="0"/>
        <v>0.28620394173093405</v>
      </c>
      <c r="J8">
        <v>0</v>
      </c>
      <c r="K8">
        <v>0</v>
      </c>
      <c r="L8">
        <v>227</v>
      </c>
      <c r="M8">
        <f t="shared" si="1"/>
        <v>0</v>
      </c>
      <c r="O8" t="s">
        <v>63</v>
      </c>
    </row>
    <row r="9" spans="1:16">
      <c r="A9" t="s">
        <v>64</v>
      </c>
      <c r="B9" s="1" t="s">
        <v>65</v>
      </c>
      <c r="C9" t="s">
        <v>66</v>
      </c>
      <c r="D9" t="s">
        <v>430</v>
      </c>
      <c r="E9" t="s">
        <v>66</v>
      </c>
      <c r="F9" t="s">
        <v>187</v>
      </c>
      <c r="G9">
        <v>0.42899999999999999</v>
      </c>
      <c r="H9">
        <v>1</v>
      </c>
      <c r="I9">
        <f t="shared" si="0"/>
        <v>0.60041987403778863</v>
      </c>
      <c r="J9">
        <v>1</v>
      </c>
      <c r="K9">
        <v>1</v>
      </c>
      <c r="L9">
        <v>228</v>
      </c>
      <c r="M9">
        <f t="shared" si="1"/>
        <v>1</v>
      </c>
      <c r="O9" s="3">
        <f>_xlfn.STDEV.P(L2:L94)</f>
        <v>74.258550300626041</v>
      </c>
    </row>
    <row r="10" spans="1:16">
      <c r="A10" t="s">
        <v>69</v>
      </c>
      <c r="B10" s="1" t="s">
        <v>70</v>
      </c>
      <c r="C10" t="s">
        <v>71</v>
      </c>
      <c r="D10" t="s">
        <v>431</v>
      </c>
      <c r="E10" t="s">
        <v>432</v>
      </c>
      <c r="F10" t="s">
        <v>433</v>
      </c>
      <c r="G10">
        <v>0.25</v>
      </c>
      <c r="H10">
        <v>0.5</v>
      </c>
      <c r="I10">
        <f t="shared" si="0"/>
        <v>0.33333333333333331</v>
      </c>
      <c r="J10">
        <v>0.66700000000000004</v>
      </c>
      <c r="K10">
        <v>1</v>
      </c>
      <c r="L10">
        <v>231</v>
      </c>
      <c r="M10">
        <f t="shared" si="1"/>
        <v>0.8</v>
      </c>
    </row>
    <row r="11" spans="1:16">
      <c r="A11" t="s">
        <v>75</v>
      </c>
      <c r="B11" s="1" t="s">
        <v>76</v>
      </c>
      <c r="C11" t="s">
        <v>77</v>
      </c>
      <c r="D11" t="s">
        <v>315</v>
      </c>
      <c r="E11" t="s">
        <v>434</v>
      </c>
      <c r="F11" t="s">
        <v>27</v>
      </c>
      <c r="G11">
        <v>1</v>
      </c>
      <c r="H11">
        <v>0.5</v>
      </c>
      <c r="I11">
        <f t="shared" si="0"/>
        <v>0.66666666666666663</v>
      </c>
      <c r="J11">
        <v>1</v>
      </c>
      <c r="K11">
        <v>0.33300000000000002</v>
      </c>
      <c r="L11">
        <v>119</v>
      </c>
      <c r="M11">
        <f t="shared" si="1"/>
        <v>0.5</v>
      </c>
    </row>
    <row r="12" spans="1:16">
      <c r="A12" t="s">
        <v>81</v>
      </c>
      <c r="B12" s="1" t="s">
        <v>70</v>
      </c>
      <c r="C12" t="s">
        <v>71</v>
      </c>
      <c r="D12" t="s">
        <v>431</v>
      </c>
      <c r="E12" t="s">
        <v>435</v>
      </c>
      <c r="F12" t="s">
        <v>433</v>
      </c>
      <c r="G12">
        <v>0.25</v>
      </c>
      <c r="H12">
        <v>0.5</v>
      </c>
      <c r="I12">
        <f t="shared" si="0"/>
        <v>0.33333333333333331</v>
      </c>
      <c r="J12">
        <v>0.5</v>
      </c>
      <c r="K12">
        <v>1</v>
      </c>
      <c r="L12">
        <v>234</v>
      </c>
      <c r="M12">
        <f t="shared" si="1"/>
        <v>0.66700000000000004</v>
      </c>
    </row>
    <row r="13" spans="1:16">
      <c r="A13" t="s">
        <v>83</v>
      </c>
      <c r="B13" s="1" t="s">
        <v>41</v>
      </c>
      <c r="C13" t="s">
        <v>84</v>
      </c>
      <c r="D13" t="s">
        <v>436</v>
      </c>
      <c r="E13" t="s">
        <v>437</v>
      </c>
      <c r="F13" t="s">
        <v>438</v>
      </c>
      <c r="G13">
        <v>0.28599999999999998</v>
      </c>
      <c r="H13">
        <v>1</v>
      </c>
      <c r="I13">
        <f t="shared" si="0"/>
        <v>0.44479004665629857</v>
      </c>
      <c r="J13">
        <v>0.5</v>
      </c>
      <c r="K13">
        <v>0.5</v>
      </c>
      <c r="L13">
        <v>253</v>
      </c>
      <c r="M13">
        <f t="shared" si="1"/>
        <v>0.5</v>
      </c>
    </row>
    <row r="14" spans="1:16">
      <c r="A14" t="s">
        <v>87</v>
      </c>
      <c r="B14" s="1" t="s">
        <v>88</v>
      </c>
      <c r="C14" t="s">
        <v>89</v>
      </c>
      <c r="D14" t="s">
        <v>439</v>
      </c>
      <c r="E14" t="s">
        <v>440</v>
      </c>
      <c r="F14" t="s">
        <v>417</v>
      </c>
      <c r="G14">
        <v>0</v>
      </c>
      <c r="H14">
        <v>0</v>
      </c>
      <c r="I14">
        <f t="shared" si="0"/>
        <v>0</v>
      </c>
      <c r="J14">
        <v>0.66700000000000004</v>
      </c>
      <c r="K14">
        <v>0.4</v>
      </c>
      <c r="L14">
        <v>155</v>
      </c>
      <c r="M14">
        <f t="shared" si="1"/>
        <v>0.5</v>
      </c>
    </row>
    <row r="15" spans="1:16">
      <c r="A15" t="s">
        <v>92</v>
      </c>
      <c r="B15" s="1" t="s">
        <v>93</v>
      </c>
      <c r="C15" t="s">
        <v>30</v>
      </c>
      <c r="D15" t="s">
        <v>416</v>
      </c>
      <c r="E15" t="s">
        <v>441</v>
      </c>
      <c r="F15" t="s">
        <v>442</v>
      </c>
      <c r="G15">
        <v>0.16700000000000001</v>
      </c>
      <c r="H15">
        <v>1</v>
      </c>
      <c r="I15">
        <f t="shared" si="0"/>
        <v>0.28620394173093405</v>
      </c>
      <c r="J15">
        <v>0.66700000000000004</v>
      </c>
      <c r="K15">
        <v>0.4</v>
      </c>
      <c r="L15">
        <v>297</v>
      </c>
      <c r="M15">
        <f t="shared" si="1"/>
        <v>0.5</v>
      </c>
    </row>
    <row r="16" spans="1:16">
      <c r="A16" t="s">
        <v>95</v>
      </c>
      <c r="B16" s="1" t="s">
        <v>96</v>
      </c>
      <c r="C16" t="s">
        <v>97</v>
      </c>
      <c r="D16" t="s">
        <v>443</v>
      </c>
      <c r="E16" t="s">
        <v>444</v>
      </c>
      <c r="F16" t="s">
        <v>442</v>
      </c>
      <c r="G16">
        <v>6.7000000000000004E-2</v>
      </c>
      <c r="H16">
        <v>1</v>
      </c>
      <c r="I16">
        <f t="shared" si="0"/>
        <v>0.12558575445173384</v>
      </c>
      <c r="J16">
        <v>1</v>
      </c>
      <c r="K16">
        <v>0.5</v>
      </c>
      <c r="L16">
        <v>388</v>
      </c>
      <c r="M16">
        <f t="shared" si="1"/>
        <v>0.66700000000000004</v>
      </c>
    </row>
    <row r="17" spans="1:13">
      <c r="A17" t="s">
        <v>100</v>
      </c>
      <c r="B17" s="1" t="s">
        <v>41</v>
      </c>
      <c r="C17" t="s">
        <v>101</v>
      </c>
      <c r="D17" t="s">
        <v>445</v>
      </c>
      <c r="E17" t="s">
        <v>446</v>
      </c>
      <c r="F17" t="s">
        <v>45</v>
      </c>
      <c r="G17">
        <v>9.0999999999999998E-2</v>
      </c>
      <c r="H17">
        <v>0.5</v>
      </c>
      <c r="I17">
        <f t="shared" si="0"/>
        <v>0.15397631133671744</v>
      </c>
      <c r="J17">
        <v>0.6</v>
      </c>
      <c r="K17">
        <v>0.42899999999999999</v>
      </c>
      <c r="L17">
        <v>346</v>
      </c>
      <c r="M17">
        <f t="shared" si="1"/>
        <v>0.5</v>
      </c>
    </row>
    <row r="18" spans="1:13">
      <c r="A18" t="s">
        <v>104</v>
      </c>
      <c r="B18" s="1" t="s">
        <v>41</v>
      </c>
      <c r="C18" t="s">
        <v>105</v>
      </c>
      <c r="D18" t="s">
        <v>447</v>
      </c>
      <c r="E18" t="s">
        <v>448</v>
      </c>
      <c r="F18" t="s">
        <v>438</v>
      </c>
      <c r="G18">
        <v>0.11799999999999999</v>
      </c>
      <c r="H18">
        <v>1</v>
      </c>
      <c r="I18">
        <f t="shared" si="0"/>
        <v>0.21109123434704832</v>
      </c>
      <c r="J18">
        <v>0</v>
      </c>
      <c r="K18">
        <v>0</v>
      </c>
      <c r="L18">
        <v>348</v>
      </c>
      <c r="M18">
        <f t="shared" si="1"/>
        <v>0</v>
      </c>
    </row>
    <row r="19" spans="1:13">
      <c r="A19" t="s">
        <v>108</v>
      </c>
      <c r="B19" s="1" t="s">
        <v>109</v>
      </c>
      <c r="C19" t="s">
        <v>110</v>
      </c>
      <c r="D19" t="s">
        <v>449</v>
      </c>
      <c r="E19" t="s">
        <v>450</v>
      </c>
      <c r="F19" t="s">
        <v>417</v>
      </c>
      <c r="G19">
        <v>0.33300000000000002</v>
      </c>
      <c r="H19">
        <v>0.66700000000000004</v>
      </c>
      <c r="I19">
        <f t="shared" si="0"/>
        <v>0.44422200000000006</v>
      </c>
      <c r="J19">
        <v>0.4</v>
      </c>
      <c r="K19">
        <v>0.5</v>
      </c>
      <c r="L19">
        <v>175</v>
      </c>
      <c r="M19">
        <f t="shared" si="1"/>
        <v>0.44400000000000001</v>
      </c>
    </row>
    <row r="20" spans="1:13">
      <c r="A20" t="s">
        <v>113</v>
      </c>
      <c r="B20" s="1" t="s">
        <v>114</v>
      </c>
      <c r="C20" t="s">
        <v>60</v>
      </c>
      <c r="D20" t="s">
        <v>451</v>
      </c>
      <c r="E20" t="s">
        <v>452</v>
      </c>
      <c r="F20" t="s">
        <v>417</v>
      </c>
      <c r="G20">
        <v>0.16700000000000001</v>
      </c>
      <c r="H20">
        <v>0.5</v>
      </c>
      <c r="I20">
        <f t="shared" si="0"/>
        <v>0.25037481259370314</v>
      </c>
      <c r="J20">
        <v>0.16700000000000001</v>
      </c>
      <c r="K20">
        <v>0.5</v>
      </c>
      <c r="L20">
        <v>254</v>
      </c>
      <c r="M20">
        <f t="shared" si="1"/>
        <v>0.25</v>
      </c>
    </row>
    <row r="21" spans="1:13">
      <c r="A21" t="s">
        <v>117</v>
      </c>
      <c r="B21" s="1" t="s">
        <v>118</v>
      </c>
      <c r="C21" t="s">
        <v>119</v>
      </c>
      <c r="D21" t="s">
        <v>453</v>
      </c>
      <c r="E21" t="s">
        <v>454</v>
      </c>
      <c r="F21" t="s">
        <v>455</v>
      </c>
      <c r="G21">
        <v>0.111</v>
      </c>
      <c r="H21">
        <v>1</v>
      </c>
      <c r="I21">
        <f t="shared" si="0"/>
        <v>0.19981998199819984</v>
      </c>
      <c r="J21">
        <v>1</v>
      </c>
      <c r="K21">
        <v>0.4</v>
      </c>
      <c r="L21">
        <v>293</v>
      </c>
      <c r="M21">
        <f t="shared" si="1"/>
        <v>0.57099999999999995</v>
      </c>
    </row>
    <row r="22" spans="1:13">
      <c r="A22" t="s">
        <v>123</v>
      </c>
      <c r="B22" s="1" t="s">
        <v>124</v>
      </c>
      <c r="C22" t="s">
        <v>125</v>
      </c>
      <c r="D22" t="s">
        <v>456</v>
      </c>
      <c r="E22" t="s">
        <v>457</v>
      </c>
      <c r="F22" t="s">
        <v>39</v>
      </c>
      <c r="G22">
        <v>0.25</v>
      </c>
      <c r="H22">
        <v>1</v>
      </c>
      <c r="I22">
        <f t="shared" si="0"/>
        <v>0.4</v>
      </c>
      <c r="J22">
        <v>1</v>
      </c>
      <c r="K22">
        <v>0.75</v>
      </c>
      <c r="L22">
        <v>316</v>
      </c>
      <c r="M22">
        <f t="shared" si="1"/>
        <v>0.85699999999999998</v>
      </c>
    </row>
    <row r="23" spans="1:13">
      <c r="A23" t="s">
        <v>128</v>
      </c>
      <c r="B23" s="1" t="s">
        <v>88</v>
      </c>
      <c r="C23" t="s">
        <v>129</v>
      </c>
      <c r="D23" t="s">
        <v>458</v>
      </c>
      <c r="E23" t="s">
        <v>459</v>
      </c>
      <c r="F23" t="s">
        <v>187</v>
      </c>
      <c r="G23">
        <v>6.2E-2</v>
      </c>
      <c r="H23">
        <v>1</v>
      </c>
      <c r="I23">
        <f t="shared" si="0"/>
        <v>0.1167608286252354</v>
      </c>
      <c r="J23">
        <v>1</v>
      </c>
      <c r="K23">
        <v>0.5</v>
      </c>
      <c r="L23">
        <v>347</v>
      </c>
      <c r="M23">
        <f t="shared" si="1"/>
        <v>0.66700000000000004</v>
      </c>
    </row>
    <row r="24" spans="1:13">
      <c r="A24" t="s">
        <v>131</v>
      </c>
      <c r="B24" s="1" t="s">
        <v>41</v>
      </c>
      <c r="C24" t="s">
        <v>132</v>
      </c>
      <c r="D24" t="s">
        <v>460</v>
      </c>
      <c r="E24" t="s">
        <v>461</v>
      </c>
      <c r="F24" t="s">
        <v>417</v>
      </c>
      <c r="G24">
        <v>0.28599999999999998</v>
      </c>
      <c r="H24">
        <v>1</v>
      </c>
      <c r="I24">
        <f t="shared" si="0"/>
        <v>0.44479004665629857</v>
      </c>
      <c r="J24">
        <v>0.4</v>
      </c>
      <c r="K24">
        <v>0.5</v>
      </c>
      <c r="L24">
        <v>269</v>
      </c>
      <c r="M24">
        <f t="shared" si="1"/>
        <v>0.44400000000000001</v>
      </c>
    </row>
    <row r="25" spans="1:13">
      <c r="A25" t="s">
        <v>135</v>
      </c>
      <c r="B25" s="1" t="s">
        <v>136</v>
      </c>
      <c r="C25" t="s">
        <v>137</v>
      </c>
      <c r="D25" t="s">
        <v>136</v>
      </c>
      <c r="E25" t="s">
        <v>462</v>
      </c>
      <c r="F25" t="s">
        <v>45</v>
      </c>
      <c r="G25">
        <v>1</v>
      </c>
      <c r="H25">
        <v>1</v>
      </c>
      <c r="I25">
        <f t="shared" si="0"/>
        <v>1</v>
      </c>
      <c r="J25">
        <v>0.75</v>
      </c>
      <c r="K25">
        <v>0.5</v>
      </c>
      <c r="L25">
        <v>236</v>
      </c>
      <c r="M25">
        <f t="shared" si="1"/>
        <v>0.6</v>
      </c>
    </row>
    <row r="26" spans="1:13">
      <c r="A26" t="s">
        <v>140</v>
      </c>
      <c r="B26" s="1" t="s">
        <v>41</v>
      </c>
      <c r="C26" t="s">
        <v>71</v>
      </c>
      <c r="D26" t="s">
        <v>463</v>
      </c>
      <c r="E26" t="s">
        <v>464</v>
      </c>
      <c r="F26" t="s">
        <v>433</v>
      </c>
      <c r="G26">
        <v>0.33300000000000002</v>
      </c>
      <c r="H26">
        <v>1</v>
      </c>
      <c r="I26">
        <f t="shared" si="0"/>
        <v>0.4996249062265567</v>
      </c>
      <c r="J26">
        <v>0.5</v>
      </c>
      <c r="K26">
        <v>1</v>
      </c>
      <c r="L26">
        <v>270</v>
      </c>
      <c r="M26">
        <f t="shared" si="1"/>
        <v>0.66700000000000004</v>
      </c>
    </row>
    <row r="27" spans="1:13">
      <c r="A27" t="s">
        <v>142</v>
      </c>
      <c r="B27" s="1" t="s">
        <v>143</v>
      </c>
      <c r="C27" t="s">
        <v>144</v>
      </c>
      <c r="D27" t="s">
        <v>465</v>
      </c>
      <c r="E27" t="s">
        <v>466</v>
      </c>
      <c r="F27" t="s">
        <v>442</v>
      </c>
      <c r="G27">
        <v>9.0999999999999998E-2</v>
      </c>
      <c r="H27">
        <v>1</v>
      </c>
      <c r="I27">
        <f t="shared" si="0"/>
        <v>0.16681943171402383</v>
      </c>
      <c r="J27">
        <v>0.75</v>
      </c>
      <c r="K27">
        <v>0.75</v>
      </c>
      <c r="L27">
        <v>269</v>
      </c>
      <c r="M27">
        <f t="shared" si="1"/>
        <v>0.75</v>
      </c>
    </row>
    <row r="28" spans="1:13">
      <c r="A28" t="s">
        <v>147</v>
      </c>
      <c r="B28" s="1" t="s">
        <v>88</v>
      </c>
      <c r="C28" t="s">
        <v>148</v>
      </c>
      <c r="D28" t="s">
        <v>467</v>
      </c>
      <c r="E28" t="s">
        <v>468</v>
      </c>
      <c r="F28" t="s">
        <v>417</v>
      </c>
      <c r="G28">
        <v>0</v>
      </c>
      <c r="H28">
        <v>0</v>
      </c>
      <c r="I28">
        <f t="shared" si="0"/>
        <v>0</v>
      </c>
      <c r="J28">
        <v>0.5</v>
      </c>
      <c r="K28">
        <v>1</v>
      </c>
      <c r="L28">
        <v>233</v>
      </c>
      <c r="M28">
        <f t="shared" si="1"/>
        <v>0.66700000000000004</v>
      </c>
    </row>
    <row r="29" spans="1:13">
      <c r="A29" t="s">
        <v>151</v>
      </c>
      <c r="B29" s="1" t="s">
        <v>88</v>
      </c>
      <c r="C29" t="s">
        <v>152</v>
      </c>
      <c r="D29" t="s">
        <v>469</v>
      </c>
      <c r="E29" t="s">
        <v>470</v>
      </c>
      <c r="F29" t="s">
        <v>417</v>
      </c>
      <c r="G29">
        <v>9.0999999999999998E-2</v>
      </c>
      <c r="H29">
        <v>1</v>
      </c>
      <c r="I29">
        <f t="shared" si="0"/>
        <v>0.16681943171402383</v>
      </c>
      <c r="J29">
        <v>0.33300000000000002</v>
      </c>
      <c r="K29">
        <v>0.66700000000000004</v>
      </c>
      <c r="L29">
        <v>304</v>
      </c>
      <c r="M29">
        <f t="shared" si="1"/>
        <v>0.44400000000000001</v>
      </c>
    </row>
    <row r="30" spans="1:13">
      <c r="A30" t="s">
        <v>155</v>
      </c>
      <c r="B30" s="1" t="s">
        <v>156</v>
      </c>
      <c r="C30" t="s">
        <v>157</v>
      </c>
      <c r="D30" t="s">
        <v>471</v>
      </c>
      <c r="E30" t="s">
        <v>472</v>
      </c>
      <c r="F30" t="s">
        <v>438</v>
      </c>
      <c r="G30">
        <v>0.23100000000000001</v>
      </c>
      <c r="H30">
        <v>1</v>
      </c>
      <c r="I30">
        <f t="shared" si="0"/>
        <v>0.37530463038180339</v>
      </c>
      <c r="J30">
        <v>0.75</v>
      </c>
      <c r="K30">
        <v>1</v>
      </c>
      <c r="L30">
        <v>373</v>
      </c>
      <c r="M30">
        <f t="shared" si="1"/>
        <v>0.85699999999999998</v>
      </c>
    </row>
    <row r="31" spans="1:13">
      <c r="A31" t="s">
        <v>160</v>
      </c>
      <c r="B31" s="1" t="s">
        <v>156</v>
      </c>
      <c r="C31" t="s">
        <v>161</v>
      </c>
      <c r="D31" t="s">
        <v>473</v>
      </c>
      <c r="E31" t="s">
        <v>474</v>
      </c>
      <c r="F31" t="s">
        <v>417</v>
      </c>
      <c r="G31">
        <v>0.27300000000000002</v>
      </c>
      <c r="H31">
        <v>1</v>
      </c>
      <c r="I31">
        <f t="shared" si="0"/>
        <v>0.42890809112333073</v>
      </c>
      <c r="J31">
        <v>0.2</v>
      </c>
      <c r="K31">
        <v>0.5</v>
      </c>
      <c r="L31">
        <v>314</v>
      </c>
      <c r="M31">
        <f t="shared" si="1"/>
        <v>0.28599999999999998</v>
      </c>
    </row>
    <row r="32" spans="1:13">
      <c r="A32" t="s">
        <v>164</v>
      </c>
      <c r="B32" s="1" t="s">
        <v>165</v>
      </c>
      <c r="C32" t="s">
        <v>166</v>
      </c>
      <c r="D32" t="s">
        <v>475</v>
      </c>
      <c r="E32" t="s">
        <v>476</v>
      </c>
      <c r="F32" t="s">
        <v>442</v>
      </c>
      <c r="G32">
        <v>0.16700000000000001</v>
      </c>
      <c r="H32">
        <v>1</v>
      </c>
      <c r="I32">
        <f t="shared" si="0"/>
        <v>0.28620394173093405</v>
      </c>
      <c r="J32">
        <v>0.6</v>
      </c>
      <c r="K32">
        <v>0.6</v>
      </c>
      <c r="L32">
        <v>391</v>
      </c>
      <c r="M32">
        <f t="shared" si="1"/>
        <v>0.6</v>
      </c>
    </row>
    <row r="33" spans="1:13">
      <c r="A33" s="6" t="s">
        <v>169</v>
      </c>
      <c r="B33" s="1" t="s">
        <v>170</v>
      </c>
      <c r="C33" t="s">
        <v>171</v>
      </c>
      <c r="D33" t="s">
        <v>477</v>
      </c>
      <c r="E33" t="s">
        <v>478</v>
      </c>
      <c r="F33" t="s">
        <v>417</v>
      </c>
      <c r="G33">
        <v>0.33300000000000002</v>
      </c>
      <c r="H33">
        <v>1</v>
      </c>
      <c r="I33">
        <f t="shared" si="0"/>
        <v>0.4996249062265567</v>
      </c>
      <c r="J33">
        <v>0.83299999999999996</v>
      </c>
      <c r="K33">
        <v>1</v>
      </c>
      <c r="L33">
        <v>211</v>
      </c>
      <c r="M33">
        <f t="shared" si="1"/>
        <v>0.90900000000000003</v>
      </c>
    </row>
    <row r="34" spans="1:13">
      <c r="A34" t="s">
        <v>174</v>
      </c>
      <c r="B34" s="1" t="s">
        <v>118</v>
      </c>
      <c r="C34" t="s">
        <v>175</v>
      </c>
      <c r="D34" t="s">
        <v>479</v>
      </c>
      <c r="E34" t="s">
        <v>480</v>
      </c>
      <c r="F34" t="s">
        <v>424</v>
      </c>
      <c r="G34">
        <v>8.3000000000000004E-2</v>
      </c>
      <c r="H34">
        <v>1</v>
      </c>
      <c r="I34">
        <f t="shared" ref="I34:I65" si="2">IF(G34+H34=0,0,2*G34*H34/(G34+H34))</f>
        <v>0.15327793167128348</v>
      </c>
      <c r="J34">
        <v>0.25</v>
      </c>
      <c r="K34">
        <v>0.2</v>
      </c>
      <c r="L34">
        <v>328</v>
      </c>
      <c r="M34">
        <f t="shared" ref="M34:M65" si="3">IF(J34+K34=0,0,ROUND(2*J34*K34/(J34+K34),3))</f>
        <v>0.222</v>
      </c>
    </row>
    <row r="35" spans="1:13">
      <c r="A35" t="s">
        <v>178</v>
      </c>
      <c r="B35" s="1" t="s">
        <v>29</v>
      </c>
      <c r="C35" t="s">
        <v>179</v>
      </c>
      <c r="D35" t="s">
        <v>481</v>
      </c>
      <c r="E35" t="s">
        <v>482</v>
      </c>
      <c r="F35" t="s">
        <v>438</v>
      </c>
      <c r="G35">
        <v>0.182</v>
      </c>
      <c r="H35">
        <v>1</v>
      </c>
      <c r="I35">
        <f t="shared" si="2"/>
        <v>0.30795262267343487</v>
      </c>
      <c r="J35">
        <v>1</v>
      </c>
      <c r="K35">
        <v>0.66700000000000004</v>
      </c>
      <c r="L35">
        <v>301</v>
      </c>
      <c r="M35">
        <f t="shared" si="3"/>
        <v>0.8</v>
      </c>
    </row>
    <row r="36" spans="1:13">
      <c r="A36" t="s">
        <v>182</v>
      </c>
      <c r="B36" s="1" t="s">
        <v>183</v>
      </c>
      <c r="C36" t="s">
        <v>184</v>
      </c>
      <c r="D36" t="s">
        <v>483</v>
      </c>
      <c r="E36" t="s">
        <v>484</v>
      </c>
      <c r="F36" t="s">
        <v>187</v>
      </c>
      <c r="G36">
        <v>0.05</v>
      </c>
      <c r="H36">
        <v>1</v>
      </c>
      <c r="I36">
        <f t="shared" si="2"/>
        <v>9.5238095238095233E-2</v>
      </c>
      <c r="J36">
        <v>0.16700000000000001</v>
      </c>
      <c r="K36">
        <v>1</v>
      </c>
      <c r="L36">
        <v>406</v>
      </c>
      <c r="M36">
        <f t="shared" si="3"/>
        <v>0.28599999999999998</v>
      </c>
    </row>
    <row r="37" spans="1:13">
      <c r="A37" t="s">
        <v>188</v>
      </c>
      <c r="B37" s="1" t="s">
        <v>189</v>
      </c>
      <c r="C37" t="s">
        <v>190</v>
      </c>
      <c r="D37" t="s">
        <v>485</v>
      </c>
      <c r="E37" t="s">
        <v>486</v>
      </c>
      <c r="F37" t="s">
        <v>39</v>
      </c>
      <c r="G37">
        <v>0.1</v>
      </c>
      <c r="H37">
        <v>1</v>
      </c>
      <c r="I37">
        <f t="shared" si="2"/>
        <v>0.18181818181818182</v>
      </c>
      <c r="J37">
        <v>0.5</v>
      </c>
      <c r="K37">
        <v>1</v>
      </c>
      <c r="L37">
        <v>400</v>
      </c>
      <c r="M37">
        <f t="shared" si="3"/>
        <v>0.66700000000000004</v>
      </c>
    </row>
    <row r="38" spans="1:13">
      <c r="A38" t="s">
        <v>193</v>
      </c>
      <c r="B38" s="1" t="s">
        <v>88</v>
      </c>
      <c r="C38" t="s">
        <v>194</v>
      </c>
      <c r="D38" t="s">
        <v>487</v>
      </c>
      <c r="E38" t="s">
        <v>488</v>
      </c>
      <c r="F38" t="s">
        <v>438</v>
      </c>
      <c r="G38">
        <v>0</v>
      </c>
      <c r="H38">
        <v>0</v>
      </c>
      <c r="I38">
        <f t="shared" si="2"/>
        <v>0</v>
      </c>
      <c r="J38">
        <v>0.66700000000000004</v>
      </c>
      <c r="K38">
        <v>0.66700000000000004</v>
      </c>
      <c r="L38">
        <v>145</v>
      </c>
      <c r="M38">
        <f t="shared" si="3"/>
        <v>0.66700000000000004</v>
      </c>
    </row>
    <row r="39" spans="1:13">
      <c r="A39" t="s">
        <v>197</v>
      </c>
      <c r="B39" s="1" t="s">
        <v>198</v>
      </c>
      <c r="C39" t="s">
        <v>199</v>
      </c>
      <c r="D39" t="s">
        <v>320</v>
      </c>
      <c r="E39" t="s">
        <v>489</v>
      </c>
      <c r="F39" t="s">
        <v>424</v>
      </c>
      <c r="G39">
        <v>0.5</v>
      </c>
      <c r="H39">
        <v>0.5</v>
      </c>
      <c r="I39">
        <f t="shared" si="2"/>
        <v>0.5</v>
      </c>
      <c r="J39">
        <v>0.33300000000000002</v>
      </c>
      <c r="K39">
        <v>0.66700000000000004</v>
      </c>
      <c r="L39">
        <v>138</v>
      </c>
      <c r="M39">
        <f t="shared" si="3"/>
        <v>0.44400000000000001</v>
      </c>
    </row>
    <row r="40" spans="1:13">
      <c r="A40" t="s">
        <v>202</v>
      </c>
      <c r="B40" s="1" t="s">
        <v>203</v>
      </c>
      <c r="C40" t="s">
        <v>204</v>
      </c>
      <c r="D40" t="s">
        <v>490</v>
      </c>
      <c r="E40" t="s">
        <v>206</v>
      </c>
      <c r="F40" t="s">
        <v>424</v>
      </c>
      <c r="G40">
        <v>0.14299999999999999</v>
      </c>
      <c r="H40">
        <v>1</v>
      </c>
      <c r="I40">
        <f t="shared" si="2"/>
        <v>0.25021872265966749</v>
      </c>
      <c r="J40">
        <v>0.5</v>
      </c>
      <c r="K40">
        <v>0.25</v>
      </c>
      <c r="L40">
        <v>222</v>
      </c>
      <c r="M40">
        <f t="shared" si="3"/>
        <v>0.33300000000000002</v>
      </c>
    </row>
    <row r="41" spans="1:13">
      <c r="A41" t="s">
        <v>207</v>
      </c>
      <c r="B41" s="1" t="s">
        <v>29</v>
      </c>
      <c r="C41" t="s">
        <v>208</v>
      </c>
      <c r="D41" t="s">
        <v>416</v>
      </c>
      <c r="E41" t="s">
        <v>491</v>
      </c>
      <c r="F41" t="s">
        <v>417</v>
      </c>
      <c r="G41">
        <v>0.16700000000000001</v>
      </c>
      <c r="H41">
        <v>1</v>
      </c>
      <c r="I41">
        <f t="shared" si="2"/>
        <v>0.28620394173093405</v>
      </c>
      <c r="J41">
        <v>0.66700000000000004</v>
      </c>
      <c r="K41">
        <v>1</v>
      </c>
      <c r="L41">
        <v>305</v>
      </c>
      <c r="M41">
        <f t="shared" si="3"/>
        <v>0.8</v>
      </c>
    </row>
    <row r="42" spans="1:13">
      <c r="A42" t="s">
        <v>209</v>
      </c>
      <c r="B42" s="1" t="s">
        <v>210</v>
      </c>
      <c r="C42" t="s">
        <v>211</v>
      </c>
      <c r="D42" t="s">
        <v>492</v>
      </c>
      <c r="E42" t="s">
        <v>493</v>
      </c>
      <c r="G42">
        <v>0.2</v>
      </c>
      <c r="H42">
        <v>0.33300000000000002</v>
      </c>
      <c r="I42">
        <f t="shared" si="2"/>
        <v>0.24990619136960601</v>
      </c>
      <c r="J42">
        <v>1</v>
      </c>
      <c r="K42">
        <v>0.2</v>
      </c>
      <c r="L42">
        <v>256</v>
      </c>
      <c r="M42">
        <f t="shared" si="3"/>
        <v>0.33300000000000002</v>
      </c>
    </row>
    <row r="43" spans="1:13">
      <c r="A43" t="s">
        <v>214</v>
      </c>
      <c r="B43" s="1" t="s">
        <v>215</v>
      </c>
      <c r="C43" t="s">
        <v>216</v>
      </c>
      <c r="D43" t="s">
        <v>494</v>
      </c>
      <c r="E43" t="s">
        <v>495</v>
      </c>
      <c r="F43" t="s">
        <v>438</v>
      </c>
      <c r="G43">
        <v>0.28599999999999998</v>
      </c>
      <c r="H43">
        <v>1</v>
      </c>
      <c r="I43">
        <f t="shared" si="2"/>
        <v>0.44479004665629857</v>
      </c>
      <c r="J43">
        <v>0.66700000000000004</v>
      </c>
      <c r="K43">
        <v>0.4</v>
      </c>
      <c r="L43">
        <v>300</v>
      </c>
      <c r="M43">
        <f t="shared" si="3"/>
        <v>0.5</v>
      </c>
    </row>
    <row r="44" spans="1:13">
      <c r="A44" t="s">
        <v>219</v>
      </c>
      <c r="B44" s="1" t="s">
        <v>41</v>
      </c>
      <c r="C44" t="s">
        <v>220</v>
      </c>
      <c r="D44" t="s">
        <v>496</v>
      </c>
      <c r="E44" t="s">
        <v>497</v>
      </c>
      <c r="F44" t="s">
        <v>498</v>
      </c>
      <c r="G44">
        <v>0.111</v>
      </c>
      <c r="H44">
        <v>1</v>
      </c>
      <c r="I44">
        <f t="shared" si="2"/>
        <v>0.19981998199819984</v>
      </c>
      <c r="J44">
        <v>0.6</v>
      </c>
      <c r="K44">
        <v>0.75</v>
      </c>
      <c r="L44">
        <v>345</v>
      </c>
      <c r="M44">
        <f t="shared" si="3"/>
        <v>0.66700000000000004</v>
      </c>
    </row>
    <row r="45" spans="1:13">
      <c r="A45" t="s">
        <v>223</v>
      </c>
      <c r="B45" s="1" t="s">
        <v>224</v>
      </c>
      <c r="C45" t="s">
        <v>119</v>
      </c>
      <c r="D45" t="s">
        <v>499</v>
      </c>
      <c r="E45" t="s">
        <v>500</v>
      </c>
      <c r="F45" t="s">
        <v>429</v>
      </c>
      <c r="G45">
        <v>0.11799999999999999</v>
      </c>
      <c r="H45">
        <v>1</v>
      </c>
      <c r="I45">
        <f t="shared" si="2"/>
        <v>0.21109123434704832</v>
      </c>
      <c r="J45">
        <v>0.8</v>
      </c>
      <c r="K45">
        <v>0.8</v>
      </c>
      <c r="L45">
        <v>369</v>
      </c>
      <c r="M45">
        <f t="shared" si="3"/>
        <v>0.8</v>
      </c>
    </row>
    <row r="46" spans="1:13">
      <c r="A46" t="s">
        <v>226</v>
      </c>
      <c r="B46" s="1" t="s">
        <v>88</v>
      </c>
      <c r="C46" t="s">
        <v>157</v>
      </c>
      <c r="D46" t="s">
        <v>501</v>
      </c>
      <c r="E46" t="s">
        <v>502</v>
      </c>
      <c r="F46" t="s">
        <v>438</v>
      </c>
      <c r="G46">
        <v>7.0999999999999994E-2</v>
      </c>
      <c r="H46">
        <v>1</v>
      </c>
      <c r="I46">
        <f t="shared" si="2"/>
        <v>0.13258636788048553</v>
      </c>
      <c r="J46">
        <v>0.4</v>
      </c>
      <c r="K46">
        <v>0.66700000000000004</v>
      </c>
      <c r="L46">
        <v>314</v>
      </c>
      <c r="M46">
        <f t="shared" si="3"/>
        <v>0.5</v>
      </c>
    </row>
    <row r="47" spans="1:13">
      <c r="A47" t="s">
        <v>229</v>
      </c>
      <c r="B47" s="1" t="s">
        <v>230</v>
      </c>
      <c r="C47" t="s">
        <v>231</v>
      </c>
      <c r="D47" t="s">
        <v>503</v>
      </c>
      <c r="E47" t="s">
        <v>254</v>
      </c>
      <c r="F47" t="s">
        <v>27</v>
      </c>
      <c r="G47">
        <v>1</v>
      </c>
      <c r="H47">
        <v>0.5</v>
      </c>
      <c r="I47">
        <f t="shared" si="2"/>
        <v>0.66666666666666663</v>
      </c>
      <c r="J47">
        <v>1</v>
      </c>
      <c r="K47">
        <v>0.5</v>
      </c>
      <c r="L47">
        <v>117</v>
      </c>
      <c r="M47">
        <f t="shared" si="3"/>
        <v>0.66700000000000004</v>
      </c>
    </row>
    <row r="48" spans="1:13">
      <c r="A48" t="s">
        <v>234</v>
      </c>
      <c r="B48" s="1" t="s">
        <v>88</v>
      </c>
      <c r="C48" t="s">
        <v>235</v>
      </c>
      <c r="D48" t="s">
        <v>504</v>
      </c>
      <c r="E48" t="s">
        <v>505</v>
      </c>
      <c r="F48" t="s">
        <v>438</v>
      </c>
      <c r="G48">
        <v>5.8999999999999997E-2</v>
      </c>
      <c r="H48">
        <v>1</v>
      </c>
      <c r="I48">
        <f t="shared" si="2"/>
        <v>0.11142587346553352</v>
      </c>
      <c r="J48">
        <v>1</v>
      </c>
      <c r="K48">
        <v>0.75</v>
      </c>
      <c r="L48">
        <v>337</v>
      </c>
      <c r="M48">
        <f t="shared" si="3"/>
        <v>0.85699999999999998</v>
      </c>
    </row>
    <row r="49" spans="1:13">
      <c r="A49" t="s">
        <v>238</v>
      </c>
      <c r="B49" s="1" t="s">
        <v>215</v>
      </c>
      <c r="C49" t="s">
        <v>239</v>
      </c>
      <c r="D49" t="s">
        <v>506</v>
      </c>
      <c r="E49" t="s">
        <v>432</v>
      </c>
      <c r="F49" t="s">
        <v>433</v>
      </c>
      <c r="G49">
        <v>0.28599999999999998</v>
      </c>
      <c r="H49">
        <v>1</v>
      </c>
      <c r="I49">
        <f t="shared" si="2"/>
        <v>0.44479004665629857</v>
      </c>
      <c r="J49">
        <v>0.66700000000000004</v>
      </c>
      <c r="K49">
        <v>0.5</v>
      </c>
      <c r="L49">
        <v>274</v>
      </c>
      <c r="M49">
        <f t="shared" si="3"/>
        <v>0.57199999999999995</v>
      </c>
    </row>
    <row r="50" spans="1:13">
      <c r="A50" t="s">
        <v>241</v>
      </c>
      <c r="B50" s="1" t="s">
        <v>203</v>
      </c>
      <c r="C50" t="s">
        <v>242</v>
      </c>
      <c r="D50" t="s">
        <v>507</v>
      </c>
      <c r="E50" t="s">
        <v>508</v>
      </c>
      <c r="F50" t="s">
        <v>417</v>
      </c>
      <c r="G50">
        <v>0.125</v>
      </c>
      <c r="H50">
        <v>1</v>
      </c>
      <c r="I50">
        <f t="shared" si="2"/>
        <v>0.22222222222222221</v>
      </c>
      <c r="J50">
        <v>0.5</v>
      </c>
      <c r="K50">
        <v>0.75</v>
      </c>
      <c r="L50">
        <v>239</v>
      </c>
      <c r="M50">
        <f t="shared" si="3"/>
        <v>0.6</v>
      </c>
    </row>
    <row r="51" spans="1:13">
      <c r="A51" t="s">
        <v>245</v>
      </c>
      <c r="B51" s="1" t="s">
        <v>29</v>
      </c>
      <c r="C51" t="s">
        <v>208</v>
      </c>
      <c r="D51" t="s">
        <v>416</v>
      </c>
      <c r="E51" t="s">
        <v>32</v>
      </c>
      <c r="F51" t="s">
        <v>417</v>
      </c>
      <c r="G51">
        <v>0.16700000000000001</v>
      </c>
      <c r="H51">
        <v>1</v>
      </c>
      <c r="I51">
        <f t="shared" si="2"/>
        <v>0.28620394173093405</v>
      </c>
      <c r="J51">
        <v>0.66700000000000004</v>
      </c>
      <c r="K51">
        <v>0.5</v>
      </c>
      <c r="L51">
        <v>299</v>
      </c>
      <c r="M51">
        <f t="shared" si="3"/>
        <v>0.57199999999999995</v>
      </c>
    </row>
    <row r="52" spans="1:13">
      <c r="A52" t="s">
        <v>246</v>
      </c>
      <c r="B52" s="1" t="s">
        <v>247</v>
      </c>
      <c r="C52" t="s">
        <v>248</v>
      </c>
      <c r="D52" t="s">
        <v>509</v>
      </c>
      <c r="E52" t="s">
        <v>510</v>
      </c>
      <c r="F52" t="s">
        <v>187</v>
      </c>
      <c r="G52">
        <v>0.25</v>
      </c>
      <c r="H52">
        <v>1</v>
      </c>
      <c r="I52">
        <f t="shared" si="2"/>
        <v>0.4</v>
      </c>
      <c r="J52">
        <v>0.5</v>
      </c>
      <c r="K52">
        <v>0.25</v>
      </c>
      <c r="L52">
        <v>284</v>
      </c>
      <c r="M52">
        <f t="shared" si="3"/>
        <v>0.33300000000000002</v>
      </c>
    </row>
    <row r="53" spans="1:13">
      <c r="A53" t="s">
        <v>251</v>
      </c>
      <c r="B53" s="1" t="s">
        <v>47</v>
      </c>
      <c r="C53" t="s">
        <v>252</v>
      </c>
      <c r="D53" t="s">
        <v>511</v>
      </c>
      <c r="E53" t="s">
        <v>254</v>
      </c>
      <c r="F53" t="s">
        <v>27</v>
      </c>
      <c r="G53">
        <v>0.5</v>
      </c>
      <c r="H53">
        <v>0.5</v>
      </c>
      <c r="I53">
        <f t="shared" si="2"/>
        <v>0.5</v>
      </c>
      <c r="J53">
        <v>1</v>
      </c>
      <c r="K53">
        <v>0.5</v>
      </c>
      <c r="L53">
        <v>118</v>
      </c>
      <c r="M53">
        <f t="shared" si="3"/>
        <v>0.66700000000000004</v>
      </c>
    </row>
    <row r="54" spans="1:13">
      <c r="A54" t="s">
        <v>255</v>
      </c>
      <c r="B54" s="1" t="s">
        <v>23</v>
      </c>
      <c r="C54" t="s">
        <v>256</v>
      </c>
      <c r="D54" t="s">
        <v>512</v>
      </c>
      <c r="E54" t="s">
        <v>338</v>
      </c>
      <c r="F54" t="s">
        <v>187</v>
      </c>
      <c r="G54">
        <v>7.6999999999999999E-2</v>
      </c>
      <c r="H54">
        <v>0.5</v>
      </c>
      <c r="I54">
        <f t="shared" si="2"/>
        <v>0.13344887348353554</v>
      </c>
      <c r="J54">
        <v>1</v>
      </c>
      <c r="K54">
        <v>0.33300000000000002</v>
      </c>
      <c r="L54">
        <v>253</v>
      </c>
      <c r="M54">
        <f t="shared" si="3"/>
        <v>0.5</v>
      </c>
    </row>
    <row r="55" spans="1:13">
      <c r="A55" t="s">
        <v>259</v>
      </c>
      <c r="B55" s="1" t="s">
        <v>143</v>
      </c>
      <c r="C55" t="s">
        <v>260</v>
      </c>
      <c r="D55" t="s">
        <v>513</v>
      </c>
      <c r="E55" t="s">
        <v>514</v>
      </c>
      <c r="F55" t="s">
        <v>442</v>
      </c>
      <c r="G55">
        <v>0.1</v>
      </c>
      <c r="H55">
        <v>1</v>
      </c>
      <c r="I55">
        <f t="shared" si="2"/>
        <v>0.18181818181818182</v>
      </c>
      <c r="J55">
        <v>0.6</v>
      </c>
      <c r="K55">
        <v>0.66700000000000004</v>
      </c>
      <c r="L55">
        <v>220</v>
      </c>
      <c r="M55">
        <f t="shared" si="3"/>
        <v>0.63200000000000001</v>
      </c>
    </row>
    <row r="56" spans="1:13">
      <c r="A56" t="s">
        <v>263</v>
      </c>
      <c r="B56" s="1" t="s">
        <v>93</v>
      </c>
      <c r="C56" t="s">
        <v>264</v>
      </c>
      <c r="D56" t="s">
        <v>515</v>
      </c>
      <c r="E56" t="s">
        <v>516</v>
      </c>
      <c r="F56" t="s">
        <v>442</v>
      </c>
      <c r="G56">
        <v>0.16700000000000001</v>
      </c>
      <c r="H56">
        <v>1</v>
      </c>
      <c r="I56">
        <f t="shared" si="2"/>
        <v>0.28620394173093405</v>
      </c>
      <c r="J56">
        <v>1</v>
      </c>
      <c r="K56">
        <v>0.75</v>
      </c>
      <c r="L56">
        <v>293</v>
      </c>
      <c r="M56">
        <f t="shared" si="3"/>
        <v>0.85699999999999998</v>
      </c>
    </row>
    <row r="57" spans="1:13">
      <c r="A57" t="s">
        <v>267</v>
      </c>
      <c r="B57" s="1" t="s">
        <v>268</v>
      </c>
      <c r="C57" t="s">
        <v>269</v>
      </c>
      <c r="D57" t="s">
        <v>517</v>
      </c>
      <c r="E57" t="s">
        <v>518</v>
      </c>
      <c r="F57" t="s">
        <v>45</v>
      </c>
      <c r="G57">
        <v>0.28599999999999998</v>
      </c>
      <c r="H57">
        <v>0.66700000000000004</v>
      </c>
      <c r="I57">
        <f t="shared" si="2"/>
        <v>0.4003399790136411</v>
      </c>
      <c r="J57">
        <v>0.33300000000000002</v>
      </c>
      <c r="K57">
        <v>0.5</v>
      </c>
      <c r="L57">
        <v>330</v>
      </c>
      <c r="M57">
        <f t="shared" si="3"/>
        <v>0.4</v>
      </c>
    </row>
    <row r="58" spans="1:13">
      <c r="A58" t="s">
        <v>271</v>
      </c>
      <c r="B58" s="1" t="s">
        <v>272</v>
      </c>
      <c r="C58" t="s">
        <v>273</v>
      </c>
      <c r="D58" t="s">
        <v>519</v>
      </c>
      <c r="E58" t="s">
        <v>520</v>
      </c>
      <c r="F58" t="s">
        <v>424</v>
      </c>
      <c r="G58">
        <v>0.182</v>
      </c>
      <c r="H58">
        <v>0.66700000000000004</v>
      </c>
      <c r="I58">
        <f t="shared" si="2"/>
        <v>0.28596937573616021</v>
      </c>
      <c r="J58">
        <v>0.2</v>
      </c>
      <c r="K58">
        <v>1</v>
      </c>
      <c r="L58">
        <v>291</v>
      </c>
      <c r="M58">
        <f t="shared" si="3"/>
        <v>0.33300000000000002</v>
      </c>
    </row>
    <row r="59" spans="1:13">
      <c r="A59" t="s">
        <v>276</v>
      </c>
      <c r="B59" s="1" t="s">
        <v>277</v>
      </c>
      <c r="C59" t="s">
        <v>278</v>
      </c>
      <c r="D59" t="s">
        <v>521</v>
      </c>
      <c r="E59" t="s">
        <v>522</v>
      </c>
      <c r="F59" t="s">
        <v>27</v>
      </c>
      <c r="G59">
        <v>0.11799999999999999</v>
      </c>
      <c r="H59">
        <v>1</v>
      </c>
      <c r="I59">
        <f t="shared" si="2"/>
        <v>0.21109123434704832</v>
      </c>
      <c r="J59">
        <v>0.5</v>
      </c>
      <c r="K59">
        <v>1</v>
      </c>
      <c r="L59">
        <v>340</v>
      </c>
      <c r="M59">
        <f t="shared" si="3"/>
        <v>0.66700000000000004</v>
      </c>
    </row>
    <row r="60" spans="1:13">
      <c r="A60" t="s">
        <v>281</v>
      </c>
      <c r="B60" s="1" t="s">
        <v>29</v>
      </c>
      <c r="C60" t="s">
        <v>264</v>
      </c>
      <c r="D60" t="s">
        <v>523</v>
      </c>
      <c r="E60" t="s">
        <v>516</v>
      </c>
      <c r="F60" t="s">
        <v>442</v>
      </c>
      <c r="G60">
        <v>0.182</v>
      </c>
      <c r="H60">
        <v>1</v>
      </c>
      <c r="I60">
        <f t="shared" si="2"/>
        <v>0.30795262267343487</v>
      </c>
      <c r="J60">
        <v>1</v>
      </c>
      <c r="K60">
        <v>0.75</v>
      </c>
      <c r="L60">
        <v>239</v>
      </c>
      <c r="M60">
        <f t="shared" si="3"/>
        <v>0.85699999999999998</v>
      </c>
    </row>
    <row r="61" spans="1:13">
      <c r="A61" t="s">
        <v>284</v>
      </c>
      <c r="B61" s="1" t="s">
        <v>285</v>
      </c>
      <c r="C61" t="s">
        <v>286</v>
      </c>
      <c r="D61" t="s">
        <v>524</v>
      </c>
      <c r="E61" t="s">
        <v>525</v>
      </c>
      <c r="F61" t="s">
        <v>442</v>
      </c>
      <c r="G61">
        <v>0.11799999999999999</v>
      </c>
      <c r="H61">
        <v>1</v>
      </c>
      <c r="I61">
        <f t="shared" si="2"/>
        <v>0.21109123434704832</v>
      </c>
      <c r="J61">
        <v>0.66700000000000004</v>
      </c>
      <c r="K61">
        <v>0.5</v>
      </c>
      <c r="L61">
        <v>390</v>
      </c>
      <c r="M61">
        <f t="shared" si="3"/>
        <v>0.57199999999999995</v>
      </c>
    </row>
    <row r="62" spans="1:13">
      <c r="A62" t="s">
        <v>289</v>
      </c>
      <c r="B62" s="1" t="s">
        <v>290</v>
      </c>
      <c r="C62" t="s">
        <v>291</v>
      </c>
      <c r="D62" t="s">
        <v>526</v>
      </c>
      <c r="E62" t="s">
        <v>527</v>
      </c>
      <c r="F62" t="s">
        <v>187</v>
      </c>
      <c r="G62">
        <v>0.125</v>
      </c>
      <c r="H62">
        <v>1</v>
      </c>
      <c r="I62">
        <f t="shared" si="2"/>
        <v>0.22222222222222221</v>
      </c>
      <c r="J62">
        <v>0.5</v>
      </c>
      <c r="K62">
        <v>1</v>
      </c>
      <c r="L62">
        <v>386</v>
      </c>
      <c r="M62">
        <f t="shared" si="3"/>
        <v>0.66700000000000004</v>
      </c>
    </row>
    <row r="63" spans="1:13">
      <c r="A63" t="s">
        <v>294</v>
      </c>
      <c r="B63" s="1" t="s">
        <v>88</v>
      </c>
      <c r="C63" t="s">
        <v>295</v>
      </c>
      <c r="D63" t="s">
        <v>528</v>
      </c>
      <c r="E63" t="s">
        <v>529</v>
      </c>
      <c r="F63" t="s">
        <v>438</v>
      </c>
      <c r="G63">
        <v>5.8999999999999997E-2</v>
      </c>
      <c r="H63">
        <v>1</v>
      </c>
      <c r="I63">
        <f t="shared" si="2"/>
        <v>0.11142587346553352</v>
      </c>
      <c r="J63">
        <v>0.75</v>
      </c>
      <c r="K63">
        <v>0.375</v>
      </c>
      <c r="L63">
        <v>344</v>
      </c>
      <c r="M63">
        <f t="shared" si="3"/>
        <v>0.5</v>
      </c>
    </row>
    <row r="64" spans="1:13">
      <c r="A64" t="s">
        <v>298</v>
      </c>
      <c r="B64" s="1" t="s">
        <v>299</v>
      </c>
      <c r="C64" t="s">
        <v>233</v>
      </c>
      <c r="D64" t="s">
        <v>530</v>
      </c>
      <c r="E64" t="s">
        <v>254</v>
      </c>
      <c r="F64" t="s">
        <v>27</v>
      </c>
      <c r="G64">
        <v>0.33300000000000002</v>
      </c>
      <c r="H64">
        <v>0.33300000000000002</v>
      </c>
      <c r="I64">
        <f t="shared" si="2"/>
        <v>0.33300000000000002</v>
      </c>
      <c r="J64">
        <v>0.5</v>
      </c>
      <c r="K64">
        <v>0.5</v>
      </c>
      <c r="L64">
        <v>119</v>
      </c>
      <c r="M64">
        <f t="shared" si="3"/>
        <v>0.5</v>
      </c>
    </row>
    <row r="65" spans="1:13">
      <c r="A65" t="s">
        <v>302</v>
      </c>
      <c r="B65" s="1" t="s">
        <v>277</v>
      </c>
      <c r="C65" t="s">
        <v>278</v>
      </c>
      <c r="D65" t="s">
        <v>531</v>
      </c>
      <c r="E65" t="s">
        <v>532</v>
      </c>
      <c r="F65" t="s">
        <v>533</v>
      </c>
      <c r="G65">
        <v>0.14299999999999999</v>
      </c>
      <c r="H65">
        <v>1</v>
      </c>
      <c r="I65">
        <f t="shared" si="2"/>
        <v>0.25021872265966749</v>
      </c>
      <c r="J65">
        <v>0.33300000000000002</v>
      </c>
      <c r="K65">
        <v>1</v>
      </c>
      <c r="L65">
        <v>331</v>
      </c>
      <c r="M65">
        <f t="shared" si="3"/>
        <v>0.5</v>
      </c>
    </row>
    <row r="66" spans="1:13">
      <c r="A66" t="s">
        <v>305</v>
      </c>
      <c r="B66" s="1" t="s">
        <v>47</v>
      </c>
      <c r="C66" t="s">
        <v>306</v>
      </c>
      <c r="D66" t="s">
        <v>534</v>
      </c>
      <c r="E66" t="s">
        <v>535</v>
      </c>
      <c r="F66" t="s">
        <v>417</v>
      </c>
      <c r="G66">
        <v>0.11799999999999999</v>
      </c>
      <c r="H66">
        <v>1</v>
      </c>
      <c r="I66">
        <f t="shared" ref="I66:I94" si="4">IF(G66+H66=0,0,2*G66*H66/(G66+H66))</f>
        <v>0.21109123434704832</v>
      </c>
      <c r="J66">
        <v>0.6</v>
      </c>
      <c r="K66">
        <v>0.75</v>
      </c>
      <c r="L66">
        <v>342</v>
      </c>
      <c r="M66">
        <f t="shared" ref="M66:M94" si="5">IF(J66+K66=0,0,ROUND(2*J66*K66/(J66+K66),3))</f>
        <v>0.66700000000000004</v>
      </c>
    </row>
    <row r="67" spans="1:13">
      <c r="A67" t="s">
        <v>309</v>
      </c>
      <c r="B67" s="1" t="s">
        <v>310</v>
      </c>
      <c r="C67" t="s">
        <v>311</v>
      </c>
      <c r="D67" t="s">
        <v>536</v>
      </c>
      <c r="E67" t="s">
        <v>537</v>
      </c>
      <c r="F67" t="s">
        <v>417</v>
      </c>
      <c r="G67">
        <v>7.0999999999999994E-2</v>
      </c>
      <c r="H67">
        <v>0.5</v>
      </c>
      <c r="I67">
        <f t="shared" si="4"/>
        <v>0.12434325744308231</v>
      </c>
      <c r="J67">
        <v>0.25</v>
      </c>
      <c r="K67">
        <v>0.25</v>
      </c>
      <c r="L67">
        <v>332</v>
      </c>
      <c r="M67">
        <f t="shared" si="5"/>
        <v>0.25</v>
      </c>
    </row>
    <row r="68" spans="1:13">
      <c r="A68" t="s">
        <v>314</v>
      </c>
      <c r="B68" s="1" t="s">
        <v>315</v>
      </c>
      <c r="C68" t="s">
        <v>316</v>
      </c>
      <c r="D68" t="s">
        <v>538</v>
      </c>
      <c r="E68" t="s">
        <v>539</v>
      </c>
      <c r="F68" t="s">
        <v>438</v>
      </c>
      <c r="G68">
        <v>7.0999999999999994E-2</v>
      </c>
      <c r="H68">
        <v>1</v>
      </c>
      <c r="I68">
        <f t="shared" si="4"/>
        <v>0.13258636788048553</v>
      </c>
      <c r="J68">
        <v>0.3</v>
      </c>
      <c r="K68">
        <v>0.75</v>
      </c>
      <c r="L68">
        <v>336</v>
      </c>
      <c r="M68">
        <f t="shared" si="5"/>
        <v>0.42899999999999999</v>
      </c>
    </row>
    <row r="69" spans="1:13">
      <c r="A69" t="s">
        <v>319</v>
      </c>
      <c r="B69" s="1" t="s">
        <v>320</v>
      </c>
      <c r="C69" t="s">
        <v>321</v>
      </c>
      <c r="D69" t="s">
        <v>540</v>
      </c>
      <c r="E69" t="s">
        <v>541</v>
      </c>
      <c r="F69" t="s">
        <v>442</v>
      </c>
      <c r="G69">
        <v>0.182</v>
      </c>
      <c r="H69">
        <v>1</v>
      </c>
      <c r="I69">
        <f t="shared" si="4"/>
        <v>0.30795262267343487</v>
      </c>
      <c r="J69">
        <v>0.5</v>
      </c>
      <c r="K69">
        <v>0.75</v>
      </c>
      <c r="L69">
        <v>225</v>
      </c>
      <c r="M69">
        <f t="shared" si="5"/>
        <v>0.6</v>
      </c>
    </row>
    <row r="70" spans="1:13">
      <c r="A70" t="s">
        <v>324</v>
      </c>
      <c r="B70" s="1" t="s">
        <v>29</v>
      </c>
      <c r="C70" t="s">
        <v>325</v>
      </c>
      <c r="D70" t="s">
        <v>542</v>
      </c>
      <c r="E70" t="s">
        <v>543</v>
      </c>
      <c r="F70" t="s">
        <v>417</v>
      </c>
      <c r="G70">
        <v>0.125</v>
      </c>
      <c r="H70">
        <v>1</v>
      </c>
      <c r="I70">
        <f t="shared" si="4"/>
        <v>0.22222222222222221</v>
      </c>
      <c r="J70">
        <v>0.8</v>
      </c>
      <c r="K70">
        <v>0.66700000000000004</v>
      </c>
      <c r="L70">
        <v>385</v>
      </c>
      <c r="M70">
        <f t="shared" si="5"/>
        <v>0.72699999999999998</v>
      </c>
    </row>
    <row r="71" spans="1:13">
      <c r="A71" t="s">
        <v>328</v>
      </c>
      <c r="B71" s="1" t="s">
        <v>47</v>
      </c>
      <c r="C71" t="s">
        <v>148</v>
      </c>
      <c r="D71" t="s">
        <v>544</v>
      </c>
      <c r="E71" t="s">
        <v>545</v>
      </c>
      <c r="F71" t="s">
        <v>417</v>
      </c>
      <c r="G71">
        <v>0.222</v>
      </c>
      <c r="H71">
        <v>1</v>
      </c>
      <c r="I71">
        <f t="shared" si="4"/>
        <v>0.36333878887070375</v>
      </c>
      <c r="J71">
        <v>0.25</v>
      </c>
      <c r="K71">
        <v>1</v>
      </c>
      <c r="L71">
        <v>263</v>
      </c>
      <c r="M71">
        <f t="shared" si="5"/>
        <v>0.4</v>
      </c>
    </row>
    <row r="72" spans="1:13">
      <c r="A72" t="s">
        <v>40</v>
      </c>
      <c r="B72" s="1" t="s">
        <v>70</v>
      </c>
      <c r="C72" t="s">
        <v>273</v>
      </c>
      <c r="D72" t="s">
        <v>420</v>
      </c>
      <c r="E72" t="s">
        <v>546</v>
      </c>
      <c r="F72" t="s">
        <v>45</v>
      </c>
      <c r="G72">
        <v>0.33300000000000002</v>
      </c>
      <c r="H72">
        <v>1</v>
      </c>
      <c r="I72">
        <f t="shared" si="4"/>
        <v>0.4996249062265567</v>
      </c>
      <c r="J72">
        <v>0.33300000000000002</v>
      </c>
      <c r="K72">
        <v>1</v>
      </c>
      <c r="L72">
        <v>316</v>
      </c>
      <c r="M72">
        <f t="shared" si="5"/>
        <v>0.5</v>
      </c>
    </row>
    <row r="73" spans="1:13">
      <c r="A73" t="s">
        <v>331</v>
      </c>
      <c r="B73" s="1" t="s">
        <v>70</v>
      </c>
      <c r="C73" t="s">
        <v>332</v>
      </c>
      <c r="D73" t="s">
        <v>547</v>
      </c>
      <c r="E73" t="s">
        <v>71</v>
      </c>
      <c r="F73" t="s">
        <v>433</v>
      </c>
      <c r="G73">
        <v>0.13300000000000001</v>
      </c>
      <c r="H73">
        <v>1</v>
      </c>
      <c r="I73">
        <f t="shared" si="4"/>
        <v>0.23477493380406003</v>
      </c>
      <c r="J73">
        <v>0.5</v>
      </c>
      <c r="K73">
        <v>1</v>
      </c>
      <c r="L73">
        <v>368</v>
      </c>
      <c r="M73">
        <f t="shared" si="5"/>
        <v>0.66700000000000004</v>
      </c>
    </row>
    <row r="74" spans="1:13">
      <c r="A74" t="s">
        <v>335</v>
      </c>
      <c r="B74" s="1" t="s">
        <v>41</v>
      </c>
      <c r="C74" t="s">
        <v>336</v>
      </c>
      <c r="D74" t="s">
        <v>337</v>
      </c>
      <c r="E74" t="s">
        <v>548</v>
      </c>
      <c r="F74" t="s">
        <v>187</v>
      </c>
      <c r="G74">
        <v>0.1</v>
      </c>
      <c r="H74">
        <v>1</v>
      </c>
      <c r="I74">
        <f t="shared" si="4"/>
        <v>0.18181818181818182</v>
      </c>
      <c r="J74">
        <v>0.5</v>
      </c>
      <c r="K74">
        <v>0.33300000000000002</v>
      </c>
      <c r="L74">
        <v>401</v>
      </c>
      <c r="M74">
        <f t="shared" si="5"/>
        <v>0.4</v>
      </c>
    </row>
    <row r="75" spans="1:13">
      <c r="A75" t="s">
        <v>339</v>
      </c>
      <c r="B75" s="1" t="s">
        <v>340</v>
      </c>
      <c r="C75" t="s">
        <v>341</v>
      </c>
      <c r="D75" t="s">
        <v>549</v>
      </c>
      <c r="E75" t="s">
        <v>550</v>
      </c>
      <c r="F75" t="s">
        <v>442</v>
      </c>
      <c r="G75">
        <v>0.222</v>
      </c>
      <c r="H75">
        <v>0.66700000000000004</v>
      </c>
      <c r="I75">
        <f t="shared" si="4"/>
        <v>0.33312485939257597</v>
      </c>
      <c r="J75">
        <v>1</v>
      </c>
      <c r="K75">
        <v>0.4</v>
      </c>
      <c r="L75">
        <v>366</v>
      </c>
      <c r="M75">
        <f t="shared" si="5"/>
        <v>0.57099999999999995</v>
      </c>
    </row>
    <row r="76" spans="1:13">
      <c r="A76" t="s">
        <v>344</v>
      </c>
      <c r="B76" s="1" t="s">
        <v>299</v>
      </c>
      <c r="C76" t="s">
        <v>345</v>
      </c>
      <c r="D76" t="s">
        <v>551</v>
      </c>
      <c r="E76" t="s">
        <v>552</v>
      </c>
      <c r="F76" t="s">
        <v>438</v>
      </c>
      <c r="G76">
        <v>0.23100000000000001</v>
      </c>
      <c r="H76">
        <v>1</v>
      </c>
      <c r="I76">
        <f t="shared" si="4"/>
        <v>0.37530463038180339</v>
      </c>
      <c r="J76">
        <v>0</v>
      </c>
      <c r="K76">
        <v>0</v>
      </c>
      <c r="L76">
        <v>332</v>
      </c>
      <c r="M76">
        <f t="shared" si="5"/>
        <v>0</v>
      </c>
    </row>
    <row r="77" spans="1:13">
      <c r="A77" t="s">
        <v>348</v>
      </c>
      <c r="B77" s="1" t="s">
        <v>315</v>
      </c>
      <c r="C77" t="s">
        <v>349</v>
      </c>
      <c r="D77" t="s">
        <v>553</v>
      </c>
      <c r="E77" t="s">
        <v>554</v>
      </c>
      <c r="F77" t="s">
        <v>27</v>
      </c>
      <c r="G77">
        <v>0.25</v>
      </c>
      <c r="H77">
        <v>1</v>
      </c>
      <c r="I77">
        <f t="shared" si="4"/>
        <v>0.4</v>
      </c>
      <c r="J77">
        <v>0.66700000000000004</v>
      </c>
      <c r="K77">
        <v>0.66700000000000004</v>
      </c>
      <c r="L77">
        <v>134</v>
      </c>
      <c r="M77">
        <f t="shared" si="5"/>
        <v>0.66700000000000004</v>
      </c>
    </row>
    <row r="78" spans="1:13">
      <c r="A78" t="s">
        <v>353</v>
      </c>
      <c r="B78" s="1" t="s">
        <v>354</v>
      </c>
      <c r="C78" t="s">
        <v>355</v>
      </c>
      <c r="D78" t="s">
        <v>477</v>
      </c>
      <c r="E78" t="s">
        <v>555</v>
      </c>
      <c r="F78" t="s">
        <v>442</v>
      </c>
      <c r="G78">
        <v>0.5</v>
      </c>
      <c r="H78">
        <v>1</v>
      </c>
      <c r="I78">
        <f t="shared" si="4"/>
        <v>0.66666666666666663</v>
      </c>
      <c r="J78">
        <v>0.5</v>
      </c>
      <c r="K78">
        <v>1</v>
      </c>
      <c r="L78">
        <v>207</v>
      </c>
      <c r="M78">
        <f t="shared" si="5"/>
        <v>0.66700000000000004</v>
      </c>
    </row>
    <row r="79" spans="1:13">
      <c r="A79" t="s">
        <v>357</v>
      </c>
      <c r="B79" s="1" t="s">
        <v>29</v>
      </c>
      <c r="C79" t="s">
        <v>358</v>
      </c>
      <c r="D79" t="s">
        <v>416</v>
      </c>
      <c r="E79" t="s">
        <v>32</v>
      </c>
      <c r="F79" t="s">
        <v>417</v>
      </c>
      <c r="G79">
        <v>0.16700000000000001</v>
      </c>
      <c r="H79">
        <v>1</v>
      </c>
      <c r="I79">
        <f t="shared" si="4"/>
        <v>0.28620394173093405</v>
      </c>
      <c r="J79">
        <v>0.66700000000000004</v>
      </c>
      <c r="K79">
        <v>0.5</v>
      </c>
      <c r="L79">
        <v>298</v>
      </c>
      <c r="M79">
        <f t="shared" si="5"/>
        <v>0.57199999999999995</v>
      </c>
    </row>
    <row r="80" spans="1:13">
      <c r="A80" t="s">
        <v>359</v>
      </c>
      <c r="B80" s="1" t="s">
        <v>360</v>
      </c>
      <c r="C80" t="s">
        <v>361</v>
      </c>
      <c r="D80" t="s">
        <v>556</v>
      </c>
      <c r="E80" t="s">
        <v>557</v>
      </c>
      <c r="F80" t="s">
        <v>438</v>
      </c>
      <c r="G80">
        <v>0</v>
      </c>
      <c r="H80">
        <v>0</v>
      </c>
      <c r="I80">
        <f t="shared" si="4"/>
        <v>0</v>
      </c>
      <c r="J80">
        <v>0.66700000000000004</v>
      </c>
      <c r="K80">
        <v>0.5</v>
      </c>
      <c r="L80">
        <v>216</v>
      </c>
      <c r="M80">
        <f t="shared" si="5"/>
        <v>0.57199999999999995</v>
      </c>
    </row>
    <row r="81" spans="1:13">
      <c r="A81" s="6" t="s">
        <v>364</v>
      </c>
      <c r="B81" s="1" t="s">
        <v>365</v>
      </c>
      <c r="C81" t="s">
        <v>355</v>
      </c>
      <c r="D81" t="s">
        <v>558</v>
      </c>
      <c r="E81" t="s">
        <v>516</v>
      </c>
      <c r="F81" t="s">
        <v>442</v>
      </c>
      <c r="G81">
        <v>0.28599999999999998</v>
      </c>
      <c r="H81">
        <v>1</v>
      </c>
      <c r="I81">
        <f t="shared" si="4"/>
        <v>0.44479004665629857</v>
      </c>
      <c r="J81">
        <v>0.66700000000000004</v>
      </c>
      <c r="K81">
        <v>1</v>
      </c>
      <c r="L81">
        <v>261</v>
      </c>
      <c r="M81">
        <f t="shared" si="5"/>
        <v>0.8</v>
      </c>
    </row>
    <row r="82" spans="1:13">
      <c r="A82" t="s">
        <v>368</v>
      </c>
      <c r="B82" s="1" t="s">
        <v>369</v>
      </c>
      <c r="C82" t="s">
        <v>370</v>
      </c>
      <c r="D82" t="s">
        <v>559</v>
      </c>
      <c r="E82" t="s">
        <v>560</v>
      </c>
      <c r="F82" t="s">
        <v>442</v>
      </c>
      <c r="G82">
        <v>0.28599999999999998</v>
      </c>
      <c r="H82">
        <v>1</v>
      </c>
      <c r="I82">
        <f t="shared" si="4"/>
        <v>0.44479004665629857</v>
      </c>
      <c r="J82">
        <v>0.66700000000000004</v>
      </c>
      <c r="K82">
        <v>1</v>
      </c>
      <c r="L82">
        <v>234</v>
      </c>
      <c r="M82">
        <f t="shared" si="5"/>
        <v>0.8</v>
      </c>
    </row>
    <row r="83" spans="1:13">
      <c r="A83" t="s">
        <v>373</v>
      </c>
      <c r="B83" s="1" t="s">
        <v>374</v>
      </c>
      <c r="C83" t="s">
        <v>375</v>
      </c>
      <c r="D83" t="s">
        <v>561</v>
      </c>
      <c r="E83" t="s">
        <v>562</v>
      </c>
      <c r="F83" t="s">
        <v>45</v>
      </c>
      <c r="G83">
        <v>0.5</v>
      </c>
      <c r="H83">
        <v>0.33300000000000002</v>
      </c>
      <c r="I83">
        <f t="shared" si="4"/>
        <v>0.39975990396158467</v>
      </c>
      <c r="J83">
        <v>0.33300000000000002</v>
      </c>
      <c r="K83">
        <v>0.33300000000000002</v>
      </c>
      <c r="L83">
        <v>209</v>
      </c>
      <c r="M83">
        <f t="shared" si="5"/>
        <v>0.33300000000000002</v>
      </c>
    </row>
    <row r="84" spans="1:13">
      <c r="A84" t="s">
        <v>378</v>
      </c>
      <c r="B84" s="1" t="s">
        <v>230</v>
      </c>
      <c r="C84" t="s">
        <v>379</v>
      </c>
      <c r="D84" t="s">
        <v>563</v>
      </c>
      <c r="E84" t="s">
        <v>564</v>
      </c>
      <c r="F84" t="s">
        <v>442</v>
      </c>
      <c r="G84">
        <v>0.14299999999999999</v>
      </c>
      <c r="H84">
        <v>1</v>
      </c>
      <c r="I84">
        <f t="shared" si="4"/>
        <v>0.25021872265966749</v>
      </c>
      <c r="J84">
        <v>0.5</v>
      </c>
      <c r="K84">
        <v>0.5</v>
      </c>
      <c r="L84">
        <v>393</v>
      </c>
      <c r="M84">
        <f t="shared" si="5"/>
        <v>0.5</v>
      </c>
    </row>
    <row r="85" spans="1:13">
      <c r="A85" t="s">
        <v>382</v>
      </c>
      <c r="B85" s="1" t="s">
        <v>41</v>
      </c>
      <c r="C85" t="s">
        <v>383</v>
      </c>
      <c r="D85" t="s">
        <v>565</v>
      </c>
      <c r="E85" t="s">
        <v>566</v>
      </c>
      <c r="G85">
        <v>0</v>
      </c>
      <c r="H85">
        <v>0</v>
      </c>
      <c r="I85">
        <f t="shared" si="4"/>
        <v>0</v>
      </c>
      <c r="J85">
        <v>0</v>
      </c>
      <c r="K85">
        <v>0</v>
      </c>
      <c r="L85">
        <v>118</v>
      </c>
      <c r="M85">
        <f t="shared" si="5"/>
        <v>0</v>
      </c>
    </row>
    <row r="86" spans="1:13">
      <c r="A86" t="s">
        <v>386</v>
      </c>
      <c r="B86" s="1" t="s">
        <v>70</v>
      </c>
      <c r="C86" t="s">
        <v>387</v>
      </c>
      <c r="D86" t="s">
        <v>567</v>
      </c>
      <c r="E86" t="s">
        <v>568</v>
      </c>
      <c r="F86" t="s">
        <v>424</v>
      </c>
      <c r="G86">
        <v>0.2</v>
      </c>
      <c r="H86">
        <v>0.5</v>
      </c>
      <c r="I86">
        <f t="shared" si="4"/>
        <v>0.28571428571428575</v>
      </c>
      <c r="J86">
        <v>0.75</v>
      </c>
      <c r="K86">
        <v>0.6</v>
      </c>
      <c r="L86">
        <v>229</v>
      </c>
      <c r="M86">
        <f t="shared" si="5"/>
        <v>0.66700000000000004</v>
      </c>
    </row>
    <row r="87" spans="1:13">
      <c r="A87" t="s">
        <v>390</v>
      </c>
      <c r="B87" s="1" t="s">
        <v>41</v>
      </c>
      <c r="C87" t="s">
        <v>391</v>
      </c>
      <c r="D87" t="s">
        <v>569</v>
      </c>
      <c r="E87" t="s">
        <v>570</v>
      </c>
      <c r="F87" t="s">
        <v>438</v>
      </c>
      <c r="G87">
        <v>0.13300000000000001</v>
      </c>
      <c r="H87">
        <v>1</v>
      </c>
      <c r="I87">
        <f t="shared" si="4"/>
        <v>0.23477493380406003</v>
      </c>
      <c r="J87">
        <v>1</v>
      </c>
      <c r="K87">
        <v>0.75</v>
      </c>
      <c r="L87">
        <v>339</v>
      </c>
      <c r="M87">
        <f t="shared" si="5"/>
        <v>0.85699999999999998</v>
      </c>
    </row>
    <row r="88" spans="1:13">
      <c r="A88" t="s">
        <v>394</v>
      </c>
      <c r="B88" s="1" t="s">
        <v>395</v>
      </c>
      <c r="C88" t="s">
        <v>396</v>
      </c>
      <c r="D88" t="s">
        <v>571</v>
      </c>
      <c r="E88" t="s">
        <v>572</v>
      </c>
      <c r="F88" t="s">
        <v>438</v>
      </c>
      <c r="G88">
        <v>0.2</v>
      </c>
      <c r="H88">
        <v>0.33300000000000002</v>
      </c>
      <c r="I88">
        <f t="shared" si="4"/>
        <v>0.24990619136960601</v>
      </c>
      <c r="J88">
        <v>0.4</v>
      </c>
      <c r="K88">
        <v>0.66700000000000004</v>
      </c>
      <c r="L88">
        <v>237</v>
      </c>
      <c r="M88">
        <f t="shared" si="5"/>
        <v>0.5</v>
      </c>
    </row>
    <row r="89" spans="1:13">
      <c r="A89" t="s">
        <v>399</v>
      </c>
      <c r="B89" s="1" t="s">
        <v>59</v>
      </c>
      <c r="C89" t="s">
        <v>400</v>
      </c>
      <c r="D89" t="s">
        <v>573</v>
      </c>
      <c r="E89" t="s">
        <v>574</v>
      </c>
      <c r="F89" t="s">
        <v>455</v>
      </c>
      <c r="G89">
        <v>0.14299999999999999</v>
      </c>
      <c r="H89">
        <v>1</v>
      </c>
      <c r="I89">
        <f t="shared" si="4"/>
        <v>0.25021872265966749</v>
      </c>
      <c r="J89">
        <v>0.4</v>
      </c>
      <c r="K89">
        <v>1</v>
      </c>
      <c r="L89">
        <v>213</v>
      </c>
      <c r="M89">
        <f t="shared" si="5"/>
        <v>0.57099999999999995</v>
      </c>
    </row>
    <row r="90" spans="1:13">
      <c r="A90" t="s">
        <v>335</v>
      </c>
      <c r="B90" s="1" t="s">
        <v>41</v>
      </c>
      <c r="C90" t="s">
        <v>336</v>
      </c>
      <c r="D90" t="s">
        <v>337</v>
      </c>
      <c r="E90" t="s">
        <v>548</v>
      </c>
      <c r="F90" t="s">
        <v>187</v>
      </c>
      <c r="G90">
        <v>0.1</v>
      </c>
      <c r="H90">
        <v>1</v>
      </c>
      <c r="I90">
        <f t="shared" si="4"/>
        <v>0.18181818181818182</v>
      </c>
      <c r="J90">
        <v>0.5</v>
      </c>
      <c r="K90">
        <v>0.33300000000000002</v>
      </c>
      <c r="L90">
        <v>401</v>
      </c>
      <c r="M90">
        <f t="shared" si="5"/>
        <v>0.4</v>
      </c>
    </row>
    <row r="91" spans="1:13">
      <c r="A91" t="s">
        <v>403</v>
      </c>
      <c r="B91" s="1" t="s">
        <v>230</v>
      </c>
      <c r="C91" t="s">
        <v>404</v>
      </c>
      <c r="D91" t="s">
        <v>575</v>
      </c>
      <c r="E91" t="s">
        <v>576</v>
      </c>
      <c r="F91" t="s">
        <v>498</v>
      </c>
      <c r="G91">
        <v>9.0999999999999998E-2</v>
      </c>
      <c r="H91">
        <v>0.5</v>
      </c>
      <c r="I91">
        <f t="shared" si="4"/>
        <v>0.15397631133671744</v>
      </c>
      <c r="J91">
        <v>0.33300000000000002</v>
      </c>
      <c r="K91">
        <v>0.2</v>
      </c>
      <c r="L91">
        <v>284</v>
      </c>
      <c r="M91">
        <f t="shared" si="5"/>
        <v>0.25</v>
      </c>
    </row>
    <row r="92" spans="1:13">
      <c r="A92" t="s">
        <v>407</v>
      </c>
      <c r="B92" s="1" t="s">
        <v>35</v>
      </c>
      <c r="C92" t="s">
        <v>408</v>
      </c>
      <c r="D92" t="s">
        <v>418</v>
      </c>
      <c r="E92" t="s">
        <v>577</v>
      </c>
      <c r="F92" t="s">
        <v>39</v>
      </c>
      <c r="G92">
        <v>0.125</v>
      </c>
      <c r="H92">
        <v>1</v>
      </c>
      <c r="I92">
        <f t="shared" si="4"/>
        <v>0.22222222222222221</v>
      </c>
      <c r="J92">
        <v>0.5</v>
      </c>
      <c r="K92">
        <v>1</v>
      </c>
      <c r="L92">
        <v>241</v>
      </c>
      <c r="M92">
        <f t="shared" si="5"/>
        <v>0.66700000000000004</v>
      </c>
    </row>
    <row r="93" spans="1:13">
      <c r="A93" t="s">
        <v>410</v>
      </c>
      <c r="B93" s="1" t="s">
        <v>59</v>
      </c>
      <c r="C93" t="s">
        <v>400</v>
      </c>
      <c r="D93" t="s">
        <v>578</v>
      </c>
      <c r="E93" t="s">
        <v>579</v>
      </c>
      <c r="F93" t="s">
        <v>455</v>
      </c>
      <c r="G93">
        <v>0.125</v>
      </c>
      <c r="H93">
        <v>1</v>
      </c>
      <c r="I93">
        <f t="shared" si="4"/>
        <v>0.22222222222222221</v>
      </c>
      <c r="J93">
        <v>0.4</v>
      </c>
      <c r="K93">
        <v>1</v>
      </c>
      <c r="L93">
        <v>236</v>
      </c>
      <c r="M93">
        <f t="shared" si="5"/>
        <v>0.57099999999999995</v>
      </c>
    </row>
    <row r="94" spans="1:13">
      <c r="A94" t="s">
        <v>413</v>
      </c>
      <c r="B94" s="1" t="s">
        <v>88</v>
      </c>
      <c r="C94" t="s">
        <v>278</v>
      </c>
      <c r="D94" t="s">
        <v>580</v>
      </c>
      <c r="E94" t="s">
        <v>581</v>
      </c>
      <c r="F94" t="s">
        <v>424</v>
      </c>
      <c r="G94">
        <v>0.125</v>
      </c>
      <c r="H94">
        <v>1</v>
      </c>
      <c r="I94">
        <f t="shared" si="4"/>
        <v>0.22222222222222221</v>
      </c>
      <c r="J94">
        <v>0.5</v>
      </c>
      <c r="K94">
        <v>1</v>
      </c>
      <c r="L94">
        <v>320</v>
      </c>
      <c r="M94">
        <f t="shared" si="5"/>
        <v>0.66700000000000004</v>
      </c>
    </row>
  </sheetData>
  <autoFilter ref="M1:M94" xr:uid="{00000000-0009-0000-0000-000002000000}"/>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4"/>
  <sheetViews>
    <sheetView topLeftCell="H1" zoomScale="70" zoomScaleNormal="70" workbookViewId="0">
      <selection activeCell="L2" sqref="L2"/>
    </sheetView>
  </sheetViews>
  <sheetFormatPr defaultRowHeight="18"/>
  <cols>
    <col min="1" max="1" width="86.08203125" customWidth="1"/>
    <col min="2" max="2" width="12.6640625" customWidth="1"/>
    <col min="3" max="3" width="11.4140625" customWidth="1"/>
    <col min="4" max="4" width="13.5" customWidth="1"/>
    <col min="5" max="5" width="38.1640625" customWidth="1"/>
    <col min="7" max="7" width="11.08203125" customWidth="1"/>
    <col min="8" max="8" width="10.9140625" customWidth="1"/>
    <col min="12" max="12" width="9.25" bestFit="1" customWidth="1"/>
    <col min="13" max="13" width="9.58203125" bestFit="1" customWidth="1"/>
    <col min="14" max="14" width="19.1640625" customWidth="1"/>
    <col min="15" max="15" width="17.4140625" customWidth="1"/>
    <col min="16" max="16" width="13.1640625" bestFit="1" customWidth="1"/>
  </cols>
  <sheetData>
    <row r="1" spans="1:16">
      <c r="A1" t="s">
        <v>9</v>
      </c>
      <c r="B1" t="s">
        <v>10</v>
      </c>
      <c r="C1" t="s">
        <v>11</v>
      </c>
      <c r="D1" t="s">
        <v>12</v>
      </c>
      <c r="E1" t="s">
        <v>13</v>
      </c>
      <c r="F1" t="s">
        <v>14</v>
      </c>
      <c r="G1" t="s">
        <v>15</v>
      </c>
      <c r="H1" t="s">
        <v>16</v>
      </c>
      <c r="I1" t="s">
        <v>17</v>
      </c>
      <c r="J1" t="s">
        <v>18</v>
      </c>
      <c r="K1" t="s">
        <v>19</v>
      </c>
      <c r="L1" t="s">
        <v>20</v>
      </c>
      <c r="M1" t="s">
        <v>21</v>
      </c>
      <c r="N1" t="s">
        <v>1</v>
      </c>
      <c r="O1" t="s">
        <v>2</v>
      </c>
      <c r="P1" s="3" t="s">
        <v>3</v>
      </c>
    </row>
    <row r="2" spans="1:16">
      <c r="A2" t="s">
        <v>22</v>
      </c>
      <c r="B2" s="1" t="s">
        <v>23</v>
      </c>
      <c r="C2" t="s">
        <v>24</v>
      </c>
      <c r="D2" t="s">
        <v>596</v>
      </c>
      <c r="E2" t="s">
        <v>597</v>
      </c>
      <c r="F2" t="s">
        <v>533</v>
      </c>
      <c r="G2">
        <v>0.5</v>
      </c>
      <c r="H2">
        <v>0.5</v>
      </c>
      <c r="I2">
        <f t="shared" ref="I2:I33" si="0">IF(G2+H2=0,0,2*G2*H2/(G2+H2))</f>
        <v>0.5</v>
      </c>
      <c r="J2">
        <v>1</v>
      </c>
      <c r="K2">
        <v>0.66700000000000004</v>
      </c>
      <c r="L2">
        <v>128</v>
      </c>
      <c r="M2">
        <f t="shared" ref="M2:M33" si="1">IF(J2+K2=0,0,ROUND(2*J2*K2/(J2+K2),3))</f>
        <v>0.8</v>
      </c>
      <c r="N2" s="3">
        <f>ROUND(AVERAGE(J2:J94),3)</f>
        <v>0.45400000000000001</v>
      </c>
      <c r="O2" s="3">
        <f>ROUND(AVERAGE(K2:K94),3)</f>
        <v>0.45900000000000002</v>
      </c>
      <c r="P2" s="3">
        <f>SUM(M2:M94)/93</f>
        <v>0.42206451612903223</v>
      </c>
    </row>
    <row r="3" spans="1:16">
      <c r="A3" t="s">
        <v>28</v>
      </c>
      <c r="B3" s="1" t="s">
        <v>29</v>
      </c>
      <c r="C3" t="s">
        <v>30</v>
      </c>
      <c r="D3" t="s">
        <v>598</v>
      </c>
      <c r="E3" t="s">
        <v>94</v>
      </c>
      <c r="F3" t="s">
        <v>417</v>
      </c>
      <c r="G3">
        <v>0.66700000000000004</v>
      </c>
      <c r="H3">
        <v>1</v>
      </c>
      <c r="I3">
        <f t="shared" si="0"/>
        <v>0.80023995200959808</v>
      </c>
      <c r="J3">
        <v>0.75</v>
      </c>
      <c r="K3">
        <v>0.6</v>
      </c>
      <c r="L3">
        <v>188</v>
      </c>
      <c r="M3">
        <f t="shared" si="1"/>
        <v>0.66700000000000004</v>
      </c>
      <c r="P3" s="3"/>
    </row>
    <row r="4" spans="1:16">
      <c r="A4" t="s">
        <v>34</v>
      </c>
      <c r="B4" s="1" t="s">
        <v>35</v>
      </c>
      <c r="C4" t="s">
        <v>36</v>
      </c>
      <c r="D4" t="s">
        <v>565</v>
      </c>
      <c r="E4" t="s">
        <v>599</v>
      </c>
      <c r="F4" t="s">
        <v>39</v>
      </c>
      <c r="G4">
        <v>0</v>
      </c>
      <c r="H4">
        <v>0</v>
      </c>
      <c r="I4">
        <f t="shared" si="0"/>
        <v>0</v>
      </c>
      <c r="J4">
        <v>0.33300000000000002</v>
      </c>
      <c r="K4">
        <v>0.33300000000000002</v>
      </c>
      <c r="L4">
        <v>105</v>
      </c>
      <c r="M4">
        <f t="shared" si="1"/>
        <v>0.33300000000000002</v>
      </c>
    </row>
    <row r="5" spans="1:16">
      <c r="A5" t="s">
        <v>40</v>
      </c>
      <c r="B5" s="1" t="s">
        <v>41</v>
      </c>
      <c r="C5" t="s">
        <v>42</v>
      </c>
      <c r="D5" t="s">
        <v>96</v>
      </c>
      <c r="E5" t="s">
        <v>600</v>
      </c>
      <c r="F5" t="s">
        <v>45</v>
      </c>
      <c r="G5">
        <v>0</v>
      </c>
      <c r="H5">
        <v>0</v>
      </c>
      <c r="I5">
        <f t="shared" si="0"/>
        <v>0</v>
      </c>
      <c r="J5">
        <v>0.5</v>
      </c>
      <c r="K5">
        <v>0.5</v>
      </c>
      <c r="L5">
        <v>172</v>
      </c>
      <c r="M5">
        <f t="shared" si="1"/>
        <v>0.5</v>
      </c>
      <c r="N5" s="3">
        <f>ROUND(AVERAGE(G2:G94),3)</f>
        <v>0.308</v>
      </c>
      <c r="O5" s="3">
        <f>ROUND(AVERAGE(H2:H94),3)</f>
        <v>0.36899999999999999</v>
      </c>
      <c r="P5" s="3">
        <f>ROUND(AVERAGE(I2:I94),3)</f>
        <v>0.307</v>
      </c>
    </row>
    <row r="6" spans="1:16">
      <c r="A6" t="s">
        <v>46</v>
      </c>
      <c r="B6" s="1" t="s">
        <v>47</v>
      </c>
      <c r="C6" t="s">
        <v>48</v>
      </c>
      <c r="D6" t="s">
        <v>565</v>
      </c>
      <c r="E6" t="s">
        <v>601</v>
      </c>
      <c r="G6">
        <v>0</v>
      </c>
      <c r="H6">
        <v>0</v>
      </c>
      <c r="I6">
        <f t="shared" si="0"/>
        <v>0</v>
      </c>
      <c r="J6">
        <v>0</v>
      </c>
      <c r="K6">
        <v>0</v>
      </c>
      <c r="L6">
        <v>109</v>
      </c>
      <c r="M6">
        <f t="shared" si="1"/>
        <v>0</v>
      </c>
      <c r="O6" t="s">
        <v>52</v>
      </c>
    </row>
    <row r="7" spans="1:16">
      <c r="A7" t="s">
        <v>53</v>
      </c>
      <c r="B7" s="1" t="s">
        <v>54</v>
      </c>
      <c r="C7" t="s">
        <v>55</v>
      </c>
      <c r="D7" t="s">
        <v>35</v>
      </c>
      <c r="E7" t="s">
        <v>602</v>
      </c>
      <c r="F7" t="s">
        <v>39</v>
      </c>
      <c r="G7">
        <v>1</v>
      </c>
      <c r="H7">
        <v>0.5</v>
      </c>
      <c r="I7">
        <f t="shared" si="0"/>
        <v>0.66666666666666663</v>
      </c>
      <c r="J7">
        <v>1</v>
      </c>
      <c r="K7">
        <v>0.4</v>
      </c>
      <c r="L7">
        <v>129</v>
      </c>
      <c r="M7">
        <f t="shared" si="1"/>
        <v>0.57099999999999995</v>
      </c>
      <c r="O7" s="4">
        <f>AVERAGE(L2:L94)</f>
        <v>149.8279569892473</v>
      </c>
    </row>
    <row r="8" spans="1:16">
      <c r="A8" t="s">
        <v>58</v>
      </c>
      <c r="B8" s="1" t="s">
        <v>59</v>
      </c>
      <c r="C8" t="s">
        <v>60</v>
      </c>
      <c r="D8" t="s">
        <v>59</v>
      </c>
      <c r="E8" t="s">
        <v>603</v>
      </c>
      <c r="F8" t="s">
        <v>429</v>
      </c>
      <c r="G8">
        <v>1</v>
      </c>
      <c r="H8">
        <v>1</v>
      </c>
      <c r="I8">
        <f t="shared" si="0"/>
        <v>1</v>
      </c>
      <c r="J8">
        <v>0.25</v>
      </c>
      <c r="K8">
        <v>0.5</v>
      </c>
      <c r="L8">
        <v>139</v>
      </c>
      <c r="M8">
        <f t="shared" si="1"/>
        <v>0.33300000000000002</v>
      </c>
      <c r="O8" t="s">
        <v>63</v>
      </c>
    </row>
    <row r="9" spans="1:16">
      <c r="A9" t="s">
        <v>64</v>
      </c>
      <c r="B9" s="1" t="s">
        <v>65</v>
      </c>
      <c r="C9" t="s">
        <v>66</v>
      </c>
      <c r="D9" t="s">
        <v>487</v>
      </c>
      <c r="E9" t="s">
        <v>66</v>
      </c>
      <c r="F9" t="s">
        <v>187</v>
      </c>
      <c r="G9">
        <v>1</v>
      </c>
      <c r="H9">
        <v>0.33300000000000002</v>
      </c>
      <c r="I9">
        <f t="shared" si="0"/>
        <v>0.4996249062265567</v>
      </c>
      <c r="J9">
        <v>1</v>
      </c>
      <c r="K9">
        <v>1</v>
      </c>
      <c r="L9">
        <v>136</v>
      </c>
      <c r="M9">
        <f t="shared" si="1"/>
        <v>1</v>
      </c>
      <c r="O9" s="3">
        <f>_xlfn.STDEV.P(L2:L94)</f>
        <v>44.673396296748273</v>
      </c>
    </row>
    <row r="10" spans="1:16">
      <c r="A10" t="s">
        <v>69</v>
      </c>
      <c r="B10" s="1" t="s">
        <v>70</v>
      </c>
      <c r="C10" t="s">
        <v>71</v>
      </c>
      <c r="D10" t="s">
        <v>565</v>
      </c>
      <c r="E10" t="s">
        <v>604</v>
      </c>
      <c r="F10" t="s">
        <v>433</v>
      </c>
      <c r="G10">
        <v>0</v>
      </c>
      <c r="H10">
        <v>0</v>
      </c>
      <c r="I10">
        <f t="shared" si="0"/>
        <v>0</v>
      </c>
      <c r="J10">
        <v>0.5</v>
      </c>
      <c r="K10">
        <v>1</v>
      </c>
      <c r="L10">
        <v>107</v>
      </c>
      <c r="M10">
        <f t="shared" si="1"/>
        <v>0.66700000000000004</v>
      </c>
    </row>
    <row r="11" spans="1:16">
      <c r="A11" t="s">
        <v>75</v>
      </c>
      <c r="B11" s="1" t="s">
        <v>76</v>
      </c>
      <c r="C11" t="s">
        <v>77</v>
      </c>
      <c r="D11" t="s">
        <v>565</v>
      </c>
      <c r="E11" t="s">
        <v>605</v>
      </c>
      <c r="G11">
        <v>0</v>
      </c>
      <c r="H11">
        <v>0</v>
      </c>
      <c r="I11">
        <f t="shared" si="0"/>
        <v>0</v>
      </c>
      <c r="J11">
        <v>0</v>
      </c>
      <c r="K11">
        <v>0</v>
      </c>
      <c r="L11">
        <v>105</v>
      </c>
      <c r="M11">
        <f t="shared" si="1"/>
        <v>0</v>
      </c>
    </row>
    <row r="12" spans="1:16">
      <c r="A12" t="s">
        <v>81</v>
      </c>
      <c r="B12" s="1" t="s">
        <v>70</v>
      </c>
      <c r="C12" t="s">
        <v>71</v>
      </c>
      <c r="D12" t="s">
        <v>565</v>
      </c>
      <c r="E12" t="s">
        <v>606</v>
      </c>
      <c r="F12" t="s">
        <v>442</v>
      </c>
      <c r="G12">
        <v>0</v>
      </c>
      <c r="H12">
        <v>0</v>
      </c>
      <c r="I12">
        <f t="shared" si="0"/>
        <v>0</v>
      </c>
      <c r="J12">
        <v>0</v>
      </c>
      <c r="K12">
        <v>0</v>
      </c>
      <c r="L12">
        <v>108</v>
      </c>
      <c r="M12">
        <f t="shared" si="1"/>
        <v>0</v>
      </c>
    </row>
    <row r="13" spans="1:16">
      <c r="A13" t="s">
        <v>83</v>
      </c>
      <c r="B13" s="1" t="s">
        <v>41</v>
      </c>
      <c r="C13" t="s">
        <v>84</v>
      </c>
      <c r="D13" t="s">
        <v>183</v>
      </c>
      <c r="E13" t="s">
        <v>304</v>
      </c>
      <c r="F13" t="s">
        <v>27</v>
      </c>
      <c r="G13">
        <v>0</v>
      </c>
      <c r="H13">
        <v>0</v>
      </c>
      <c r="I13">
        <f t="shared" si="0"/>
        <v>0</v>
      </c>
      <c r="J13">
        <v>0</v>
      </c>
      <c r="K13">
        <v>0</v>
      </c>
      <c r="L13">
        <v>111</v>
      </c>
      <c r="M13">
        <f t="shared" si="1"/>
        <v>0</v>
      </c>
    </row>
    <row r="14" spans="1:16">
      <c r="A14" t="s">
        <v>87</v>
      </c>
      <c r="B14" s="1" t="s">
        <v>88</v>
      </c>
      <c r="C14" t="s">
        <v>89</v>
      </c>
      <c r="D14" t="s">
        <v>565</v>
      </c>
      <c r="E14" t="s">
        <v>607</v>
      </c>
      <c r="F14" t="s">
        <v>442</v>
      </c>
      <c r="G14">
        <v>0</v>
      </c>
      <c r="H14">
        <v>0</v>
      </c>
      <c r="I14">
        <f t="shared" si="0"/>
        <v>0</v>
      </c>
      <c r="J14">
        <v>0.33300000000000002</v>
      </c>
      <c r="K14">
        <v>0.2</v>
      </c>
      <c r="L14">
        <v>103</v>
      </c>
      <c r="M14">
        <f t="shared" si="1"/>
        <v>0.25</v>
      </c>
    </row>
    <row r="15" spans="1:16">
      <c r="A15" t="s">
        <v>92</v>
      </c>
      <c r="B15" s="1" t="s">
        <v>93</v>
      </c>
      <c r="C15" t="s">
        <v>30</v>
      </c>
      <c r="D15" t="s">
        <v>598</v>
      </c>
      <c r="E15" t="s">
        <v>94</v>
      </c>
      <c r="F15" t="s">
        <v>417</v>
      </c>
      <c r="G15">
        <v>0.66700000000000004</v>
      </c>
      <c r="H15">
        <v>1</v>
      </c>
      <c r="I15">
        <f t="shared" si="0"/>
        <v>0.80023995200959808</v>
      </c>
      <c r="J15">
        <v>0.75</v>
      </c>
      <c r="K15">
        <v>0.6</v>
      </c>
      <c r="L15">
        <v>188</v>
      </c>
      <c r="M15">
        <f t="shared" si="1"/>
        <v>0.66700000000000004</v>
      </c>
    </row>
    <row r="16" spans="1:16">
      <c r="A16" t="s">
        <v>95</v>
      </c>
      <c r="B16" s="1" t="s">
        <v>96</v>
      </c>
      <c r="C16" t="s">
        <v>97</v>
      </c>
      <c r="D16" t="s">
        <v>608</v>
      </c>
      <c r="E16" t="s">
        <v>609</v>
      </c>
      <c r="F16" t="s">
        <v>417</v>
      </c>
      <c r="G16">
        <v>0.25</v>
      </c>
      <c r="H16">
        <v>1</v>
      </c>
      <c r="I16">
        <f t="shared" si="0"/>
        <v>0.4</v>
      </c>
      <c r="J16">
        <v>1</v>
      </c>
      <c r="K16">
        <v>0.66700000000000004</v>
      </c>
      <c r="L16">
        <v>228</v>
      </c>
      <c r="M16">
        <f t="shared" si="1"/>
        <v>0.8</v>
      </c>
    </row>
    <row r="17" spans="1:13">
      <c r="A17" t="s">
        <v>100</v>
      </c>
      <c r="B17" s="1" t="s">
        <v>41</v>
      </c>
      <c r="C17" t="s">
        <v>101</v>
      </c>
      <c r="D17" t="s">
        <v>565</v>
      </c>
      <c r="E17" t="s">
        <v>610</v>
      </c>
      <c r="F17" t="s">
        <v>45</v>
      </c>
      <c r="G17">
        <v>0</v>
      </c>
      <c r="H17">
        <v>0</v>
      </c>
      <c r="I17">
        <f t="shared" si="0"/>
        <v>0</v>
      </c>
      <c r="J17">
        <v>0.25</v>
      </c>
      <c r="K17">
        <v>0.14299999999999999</v>
      </c>
      <c r="L17">
        <v>106</v>
      </c>
      <c r="M17">
        <f t="shared" si="1"/>
        <v>0.182</v>
      </c>
    </row>
    <row r="18" spans="1:13">
      <c r="A18" t="s">
        <v>104</v>
      </c>
      <c r="B18" s="1" t="s">
        <v>41</v>
      </c>
      <c r="C18" t="s">
        <v>105</v>
      </c>
      <c r="D18" t="s">
        <v>611</v>
      </c>
      <c r="E18" t="s">
        <v>612</v>
      </c>
      <c r="F18" t="s">
        <v>417</v>
      </c>
      <c r="G18">
        <v>0.5</v>
      </c>
      <c r="H18">
        <v>0.5</v>
      </c>
      <c r="I18">
        <f t="shared" si="0"/>
        <v>0.5</v>
      </c>
      <c r="J18">
        <v>0.33300000000000002</v>
      </c>
      <c r="K18">
        <v>0.5</v>
      </c>
      <c r="L18">
        <v>182</v>
      </c>
      <c r="M18">
        <f t="shared" si="1"/>
        <v>0.4</v>
      </c>
    </row>
    <row r="19" spans="1:13">
      <c r="A19" t="s">
        <v>108</v>
      </c>
      <c r="B19" s="1" t="s">
        <v>109</v>
      </c>
      <c r="C19" t="s">
        <v>110</v>
      </c>
      <c r="D19" t="s">
        <v>565</v>
      </c>
      <c r="E19" t="s">
        <v>613</v>
      </c>
      <c r="F19" t="s">
        <v>442</v>
      </c>
      <c r="G19">
        <v>0</v>
      </c>
      <c r="H19">
        <v>0</v>
      </c>
      <c r="I19">
        <f t="shared" si="0"/>
        <v>0</v>
      </c>
      <c r="J19">
        <v>0.4</v>
      </c>
      <c r="K19">
        <v>0.5</v>
      </c>
      <c r="L19">
        <v>114</v>
      </c>
      <c r="M19">
        <f t="shared" si="1"/>
        <v>0.44400000000000001</v>
      </c>
    </row>
    <row r="20" spans="1:13">
      <c r="A20" t="s">
        <v>113</v>
      </c>
      <c r="B20" s="1" t="s">
        <v>114</v>
      </c>
      <c r="C20" t="s">
        <v>60</v>
      </c>
      <c r="D20" t="s">
        <v>59</v>
      </c>
      <c r="E20" t="s">
        <v>614</v>
      </c>
      <c r="F20" t="s">
        <v>39</v>
      </c>
      <c r="G20">
        <v>1</v>
      </c>
      <c r="H20">
        <v>0.5</v>
      </c>
      <c r="I20">
        <f t="shared" si="0"/>
        <v>0.66666666666666663</v>
      </c>
      <c r="J20">
        <v>0.33300000000000002</v>
      </c>
      <c r="K20">
        <v>0.5</v>
      </c>
      <c r="L20">
        <v>130</v>
      </c>
      <c r="M20">
        <f t="shared" si="1"/>
        <v>0.4</v>
      </c>
    </row>
    <row r="21" spans="1:13">
      <c r="A21" t="s">
        <v>117</v>
      </c>
      <c r="B21" s="1" t="s">
        <v>118</v>
      </c>
      <c r="C21" t="s">
        <v>119</v>
      </c>
      <c r="D21" t="s">
        <v>585</v>
      </c>
      <c r="E21" t="s">
        <v>615</v>
      </c>
      <c r="F21" t="s">
        <v>455</v>
      </c>
      <c r="G21">
        <v>0.5</v>
      </c>
      <c r="H21">
        <v>1</v>
      </c>
      <c r="I21">
        <f t="shared" si="0"/>
        <v>0.66666666666666663</v>
      </c>
      <c r="J21">
        <v>1</v>
      </c>
      <c r="K21">
        <v>1</v>
      </c>
      <c r="L21">
        <v>155</v>
      </c>
      <c r="M21">
        <f t="shared" si="1"/>
        <v>1</v>
      </c>
    </row>
    <row r="22" spans="1:13">
      <c r="A22" t="s">
        <v>123</v>
      </c>
      <c r="B22" s="1" t="s">
        <v>124</v>
      </c>
      <c r="C22" t="s">
        <v>125</v>
      </c>
      <c r="D22" t="s">
        <v>595</v>
      </c>
      <c r="E22" t="s">
        <v>616</v>
      </c>
      <c r="F22" t="s">
        <v>39</v>
      </c>
      <c r="G22">
        <v>0</v>
      </c>
      <c r="H22">
        <v>0</v>
      </c>
      <c r="I22">
        <f t="shared" si="0"/>
        <v>0</v>
      </c>
      <c r="J22">
        <v>1</v>
      </c>
      <c r="K22">
        <v>0.5</v>
      </c>
      <c r="L22">
        <v>171</v>
      </c>
      <c r="M22">
        <f t="shared" si="1"/>
        <v>0.66700000000000004</v>
      </c>
    </row>
    <row r="23" spans="1:13">
      <c r="A23" t="s">
        <v>128</v>
      </c>
      <c r="B23" s="1" t="s">
        <v>88</v>
      </c>
      <c r="C23" t="s">
        <v>129</v>
      </c>
      <c r="D23" t="s">
        <v>617</v>
      </c>
      <c r="E23" t="s">
        <v>618</v>
      </c>
      <c r="F23" t="s">
        <v>187</v>
      </c>
      <c r="G23">
        <v>0</v>
      </c>
      <c r="H23">
        <v>0</v>
      </c>
      <c r="I23">
        <f t="shared" si="0"/>
        <v>0</v>
      </c>
      <c r="J23">
        <v>0</v>
      </c>
      <c r="K23">
        <v>0</v>
      </c>
      <c r="L23">
        <v>212</v>
      </c>
      <c r="M23">
        <f t="shared" si="1"/>
        <v>0</v>
      </c>
    </row>
    <row r="24" spans="1:13">
      <c r="A24" t="s">
        <v>131</v>
      </c>
      <c r="B24" s="1" t="s">
        <v>41</v>
      </c>
      <c r="C24" t="s">
        <v>132</v>
      </c>
      <c r="D24" t="s">
        <v>619</v>
      </c>
      <c r="E24" t="s">
        <v>620</v>
      </c>
      <c r="F24" t="s">
        <v>438</v>
      </c>
      <c r="G24">
        <v>0.33300000000000002</v>
      </c>
      <c r="H24">
        <v>0.5</v>
      </c>
      <c r="I24">
        <f t="shared" si="0"/>
        <v>0.39975990396158467</v>
      </c>
      <c r="J24">
        <v>9.0999999999999998E-2</v>
      </c>
      <c r="K24">
        <v>0.25</v>
      </c>
      <c r="L24">
        <v>227</v>
      </c>
      <c r="M24">
        <f t="shared" si="1"/>
        <v>0.13300000000000001</v>
      </c>
    </row>
    <row r="25" spans="1:13">
      <c r="A25" t="s">
        <v>135</v>
      </c>
      <c r="B25" s="1" t="s">
        <v>136</v>
      </c>
      <c r="C25" t="s">
        <v>137</v>
      </c>
      <c r="D25" t="s">
        <v>583</v>
      </c>
      <c r="E25" t="s">
        <v>584</v>
      </c>
      <c r="F25" t="s">
        <v>621</v>
      </c>
      <c r="G25">
        <v>1</v>
      </c>
      <c r="H25">
        <v>0.33300000000000002</v>
      </c>
      <c r="I25">
        <f t="shared" si="0"/>
        <v>0.4996249062265567</v>
      </c>
      <c r="J25">
        <v>0.5</v>
      </c>
      <c r="K25">
        <v>0.16700000000000001</v>
      </c>
      <c r="L25">
        <v>145</v>
      </c>
      <c r="M25">
        <f t="shared" si="1"/>
        <v>0.25</v>
      </c>
    </row>
    <row r="26" spans="1:13">
      <c r="A26" t="s">
        <v>140</v>
      </c>
      <c r="B26" s="1" t="s">
        <v>41</v>
      </c>
      <c r="C26" t="s">
        <v>71</v>
      </c>
      <c r="D26" t="s">
        <v>565</v>
      </c>
      <c r="E26" t="s">
        <v>622</v>
      </c>
      <c r="F26" t="s">
        <v>433</v>
      </c>
      <c r="G26">
        <v>0</v>
      </c>
      <c r="H26">
        <v>0</v>
      </c>
      <c r="I26">
        <f t="shared" si="0"/>
        <v>0</v>
      </c>
      <c r="J26">
        <v>0.66700000000000004</v>
      </c>
      <c r="K26">
        <v>1</v>
      </c>
      <c r="L26">
        <v>108</v>
      </c>
      <c r="M26">
        <f t="shared" si="1"/>
        <v>0.8</v>
      </c>
    </row>
    <row r="27" spans="1:13">
      <c r="A27" t="s">
        <v>142</v>
      </c>
      <c r="B27" s="1" t="s">
        <v>143</v>
      </c>
      <c r="C27" t="s">
        <v>144</v>
      </c>
      <c r="D27" t="s">
        <v>565</v>
      </c>
      <c r="E27" t="s">
        <v>623</v>
      </c>
      <c r="F27" t="s">
        <v>442</v>
      </c>
      <c r="G27">
        <v>0</v>
      </c>
      <c r="H27">
        <v>0</v>
      </c>
      <c r="I27">
        <f t="shared" si="0"/>
        <v>0</v>
      </c>
      <c r="J27">
        <v>0.33300000000000002</v>
      </c>
      <c r="K27">
        <v>0.5</v>
      </c>
      <c r="L27">
        <v>110</v>
      </c>
      <c r="M27">
        <f t="shared" si="1"/>
        <v>0.4</v>
      </c>
    </row>
    <row r="28" spans="1:13">
      <c r="A28" t="s">
        <v>147</v>
      </c>
      <c r="B28" s="1" t="s">
        <v>88</v>
      </c>
      <c r="C28" t="s">
        <v>148</v>
      </c>
      <c r="D28" t="s">
        <v>565</v>
      </c>
      <c r="E28" t="s">
        <v>624</v>
      </c>
      <c r="F28" t="s">
        <v>424</v>
      </c>
      <c r="G28">
        <v>0</v>
      </c>
      <c r="H28">
        <v>0</v>
      </c>
      <c r="I28">
        <f t="shared" si="0"/>
        <v>0</v>
      </c>
      <c r="J28">
        <v>0.4</v>
      </c>
      <c r="K28">
        <v>1</v>
      </c>
      <c r="L28">
        <v>107</v>
      </c>
      <c r="M28">
        <f t="shared" si="1"/>
        <v>0.57099999999999995</v>
      </c>
    </row>
    <row r="29" spans="1:13">
      <c r="A29" t="s">
        <v>151</v>
      </c>
      <c r="B29" s="1" t="s">
        <v>88</v>
      </c>
      <c r="C29" t="s">
        <v>152</v>
      </c>
      <c r="D29" t="s">
        <v>625</v>
      </c>
      <c r="E29" t="s">
        <v>626</v>
      </c>
      <c r="F29" t="s">
        <v>498</v>
      </c>
      <c r="G29">
        <v>0</v>
      </c>
      <c r="H29">
        <v>0</v>
      </c>
      <c r="I29">
        <f t="shared" si="0"/>
        <v>0</v>
      </c>
      <c r="J29">
        <v>0</v>
      </c>
      <c r="K29">
        <v>0</v>
      </c>
      <c r="L29">
        <v>188</v>
      </c>
      <c r="M29">
        <f t="shared" si="1"/>
        <v>0</v>
      </c>
    </row>
    <row r="30" spans="1:13">
      <c r="A30" t="s">
        <v>155</v>
      </c>
      <c r="B30" s="1" t="s">
        <v>156</v>
      </c>
      <c r="C30" t="s">
        <v>157</v>
      </c>
      <c r="D30" t="s">
        <v>627</v>
      </c>
      <c r="E30" t="s">
        <v>628</v>
      </c>
      <c r="F30" t="s">
        <v>417</v>
      </c>
      <c r="G30">
        <v>0.75</v>
      </c>
      <c r="H30">
        <v>1</v>
      </c>
      <c r="I30">
        <f t="shared" si="0"/>
        <v>0.8571428571428571</v>
      </c>
      <c r="J30">
        <v>0.5</v>
      </c>
      <c r="K30">
        <v>0.66700000000000004</v>
      </c>
      <c r="L30">
        <v>245</v>
      </c>
      <c r="M30">
        <f t="shared" si="1"/>
        <v>0.57199999999999995</v>
      </c>
    </row>
    <row r="31" spans="1:13">
      <c r="A31" t="s">
        <v>160</v>
      </c>
      <c r="B31" s="1" t="s">
        <v>156</v>
      </c>
      <c r="C31" t="s">
        <v>161</v>
      </c>
      <c r="D31" t="s">
        <v>629</v>
      </c>
      <c r="E31" t="s">
        <v>630</v>
      </c>
      <c r="F31" t="s">
        <v>438</v>
      </c>
      <c r="G31">
        <v>0.5</v>
      </c>
      <c r="H31">
        <v>0.33300000000000002</v>
      </c>
      <c r="I31">
        <f t="shared" si="0"/>
        <v>0.39975990396158467</v>
      </c>
      <c r="J31">
        <v>0</v>
      </c>
      <c r="K31">
        <v>0</v>
      </c>
      <c r="L31">
        <v>156</v>
      </c>
      <c r="M31">
        <f t="shared" si="1"/>
        <v>0</v>
      </c>
    </row>
    <row r="32" spans="1:13">
      <c r="A32" t="s">
        <v>164</v>
      </c>
      <c r="B32" s="1" t="s">
        <v>165</v>
      </c>
      <c r="C32" t="s">
        <v>166</v>
      </c>
      <c r="D32" t="s">
        <v>631</v>
      </c>
      <c r="E32" t="s">
        <v>632</v>
      </c>
      <c r="F32" t="s">
        <v>455</v>
      </c>
      <c r="G32">
        <v>0.5</v>
      </c>
      <c r="H32">
        <v>0.33300000000000002</v>
      </c>
      <c r="I32">
        <f t="shared" si="0"/>
        <v>0.39975990396158467</v>
      </c>
      <c r="J32">
        <v>0.33300000000000002</v>
      </c>
      <c r="K32">
        <v>0.4</v>
      </c>
      <c r="L32">
        <v>149</v>
      </c>
      <c r="M32">
        <f t="shared" si="1"/>
        <v>0.36299999999999999</v>
      </c>
    </row>
    <row r="33" spans="1:13">
      <c r="A33" s="6" t="s">
        <v>169</v>
      </c>
      <c r="B33" s="1" t="s">
        <v>170</v>
      </c>
      <c r="C33" t="s">
        <v>171</v>
      </c>
      <c r="D33" t="s">
        <v>565</v>
      </c>
      <c r="E33" t="s">
        <v>633</v>
      </c>
      <c r="F33" t="s">
        <v>634</v>
      </c>
      <c r="G33">
        <v>0</v>
      </c>
      <c r="H33">
        <v>0</v>
      </c>
      <c r="I33">
        <f t="shared" si="0"/>
        <v>0</v>
      </c>
      <c r="J33">
        <v>0.25</v>
      </c>
      <c r="K33">
        <v>0.2</v>
      </c>
      <c r="L33">
        <v>108</v>
      </c>
      <c r="M33">
        <f t="shared" si="1"/>
        <v>0.222</v>
      </c>
    </row>
    <row r="34" spans="1:13">
      <c r="A34" t="s">
        <v>174</v>
      </c>
      <c r="B34" s="1" t="s">
        <v>118</v>
      </c>
      <c r="C34" t="s">
        <v>175</v>
      </c>
      <c r="D34" t="s">
        <v>635</v>
      </c>
      <c r="E34" t="s">
        <v>636</v>
      </c>
      <c r="F34" t="s">
        <v>429</v>
      </c>
      <c r="G34">
        <v>0.5</v>
      </c>
      <c r="H34">
        <v>1</v>
      </c>
      <c r="I34">
        <f t="shared" ref="I34:I65" si="2">IF(G34+H34=0,0,2*G34*H34/(G34+H34))</f>
        <v>0.66666666666666663</v>
      </c>
      <c r="J34">
        <v>0.5</v>
      </c>
      <c r="K34">
        <v>0.6</v>
      </c>
      <c r="L34">
        <v>192</v>
      </c>
      <c r="M34">
        <f t="shared" ref="M34:M65" si="3">IF(J34+K34=0,0,ROUND(2*J34*K34/(J34+K34),3))</f>
        <v>0.54500000000000004</v>
      </c>
    </row>
    <row r="35" spans="1:13">
      <c r="A35" t="s">
        <v>178</v>
      </c>
      <c r="B35" s="1" t="s">
        <v>29</v>
      </c>
      <c r="C35" t="s">
        <v>179</v>
      </c>
      <c r="D35" t="s">
        <v>586</v>
      </c>
      <c r="E35" t="s">
        <v>637</v>
      </c>
      <c r="F35" t="s">
        <v>438</v>
      </c>
      <c r="G35">
        <v>0.66700000000000004</v>
      </c>
      <c r="H35">
        <v>1</v>
      </c>
      <c r="I35">
        <f t="shared" si="2"/>
        <v>0.80023995200959808</v>
      </c>
      <c r="J35">
        <v>1</v>
      </c>
      <c r="K35">
        <v>0.83299999999999996</v>
      </c>
      <c r="L35">
        <v>190</v>
      </c>
      <c r="M35">
        <f t="shared" si="3"/>
        <v>0.90900000000000003</v>
      </c>
    </row>
    <row r="36" spans="1:13">
      <c r="A36" t="s">
        <v>182</v>
      </c>
      <c r="B36" s="1" t="s">
        <v>183</v>
      </c>
      <c r="C36" t="s">
        <v>184</v>
      </c>
      <c r="D36" t="s">
        <v>638</v>
      </c>
      <c r="E36" t="s">
        <v>639</v>
      </c>
      <c r="F36" t="s">
        <v>39</v>
      </c>
      <c r="G36">
        <v>0.2</v>
      </c>
      <c r="H36">
        <v>1</v>
      </c>
      <c r="I36">
        <f t="shared" si="2"/>
        <v>0.33333333333333337</v>
      </c>
      <c r="J36">
        <v>0.33300000000000002</v>
      </c>
      <c r="K36">
        <v>1</v>
      </c>
      <c r="L36">
        <v>221</v>
      </c>
      <c r="M36">
        <f t="shared" si="3"/>
        <v>0.5</v>
      </c>
    </row>
    <row r="37" spans="1:13">
      <c r="A37" t="s">
        <v>188</v>
      </c>
      <c r="B37" s="1" t="s">
        <v>189</v>
      </c>
      <c r="C37" t="s">
        <v>190</v>
      </c>
      <c r="D37" t="s">
        <v>640</v>
      </c>
      <c r="E37" t="s">
        <v>641</v>
      </c>
      <c r="F37" t="s">
        <v>39</v>
      </c>
      <c r="G37">
        <v>0.5</v>
      </c>
      <c r="H37">
        <v>1</v>
      </c>
      <c r="I37">
        <f t="shared" si="2"/>
        <v>0.66666666666666663</v>
      </c>
      <c r="J37">
        <v>0.66700000000000004</v>
      </c>
      <c r="K37">
        <v>1</v>
      </c>
      <c r="L37">
        <v>233</v>
      </c>
      <c r="M37">
        <f t="shared" si="3"/>
        <v>0.8</v>
      </c>
    </row>
    <row r="38" spans="1:13">
      <c r="A38" t="s">
        <v>193</v>
      </c>
      <c r="B38" s="1" t="s">
        <v>88</v>
      </c>
      <c r="C38" t="s">
        <v>194</v>
      </c>
      <c r="D38" t="s">
        <v>565</v>
      </c>
      <c r="E38" t="s">
        <v>642</v>
      </c>
      <c r="F38" t="s">
        <v>433</v>
      </c>
      <c r="G38">
        <v>0</v>
      </c>
      <c r="H38">
        <v>0</v>
      </c>
      <c r="I38">
        <f t="shared" si="2"/>
        <v>0</v>
      </c>
      <c r="J38">
        <v>0.25</v>
      </c>
      <c r="K38">
        <v>0.33300000000000002</v>
      </c>
      <c r="L38">
        <v>107</v>
      </c>
      <c r="M38">
        <f t="shared" si="3"/>
        <v>0.28599999999999998</v>
      </c>
    </row>
    <row r="39" spans="1:13">
      <c r="A39" t="s">
        <v>197</v>
      </c>
      <c r="B39" s="1" t="s">
        <v>198</v>
      </c>
      <c r="C39" t="s">
        <v>199</v>
      </c>
      <c r="D39" t="s">
        <v>565</v>
      </c>
      <c r="E39" t="s">
        <v>643</v>
      </c>
      <c r="F39" t="s">
        <v>27</v>
      </c>
      <c r="G39">
        <v>0</v>
      </c>
      <c r="H39">
        <v>0</v>
      </c>
      <c r="I39">
        <f t="shared" si="2"/>
        <v>0</v>
      </c>
      <c r="J39">
        <v>0.25</v>
      </c>
      <c r="K39">
        <v>0.33300000000000002</v>
      </c>
      <c r="L39">
        <v>106</v>
      </c>
      <c r="M39">
        <f t="shared" si="3"/>
        <v>0.28599999999999998</v>
      </c>
    </row>
    <row r="40" spans="1:13">
      <c r="A40" t="s">
        <v>202</v>
      </c>
      <c r="B40" s="1" t="s">
        <v>203</v>
      </c>
      <c r="C40" t="s">
        <v>204</v>
      </c>
      <c r="D40" t="s">
        <v>203</v>
      </c>
      <c r="E40" t="s">
        <v>587</v>
      </c>
      <c r="F40" t="s">
        <v>424</v>
      </c>
      <c r="G40">
        <v>1</v>
      </c>
      <c r="H40">
        <v>1</v>
      </c>
      <c r="I40">
        <f t="shared" si="2"/>
        <v>1</v>
      </c>
      <c r="J40">
        <v>1</v>
      </c>
      <c r="K40">
        <v>0.5</v>
      </c>
      <c r="L40">
        <v>146</v>
      </c>
      <c r="M40">
        <f t="shared" si="3"/>
        <v>0.66700000000000004</v>
      </c>
    </row>
    <row r="41" spans="1:13">
      <c r="A41" t="s">
        <v>207</v>
      </c>
      <c r="B41" s="1" t="s">
        <v>29</v>
      </c>
      <c r="C41" t="s">
        <v>208</v>
      </c>
      <c r="D41" t="s">
        <v>598</v>
      </c>
      <c r="E41" t="s">
        <v>644</v>
      </c>
      <c r="F41" t="s">
        <v>417</v>
      </c>
      <c r="G41">
        <v>0.66700000000000004</v>
      </c>
      <c r="H41">
        <v>1</v>
      </c>
      <c r="I41">
        <f t="shared" si="2"/>
        <v>0.80023995200959808</v>
      </c>
      <c r="J41">
        <v>0.75</v>
      </c>
      <c r="K41">
        <v>0.75</v>
      </c>
      <c r="L41">
        <v>188</v>
      </c>
      <c r="M41">
        <f t="shared" si="3"/>
        <v>0.75</v>
      </c>
    </row>
    <row r="42" spans="1:13">
      <c r="A42" t="s">
        <v>209</v>
      </c>
      <c r="B42" s="1" t="s">
        <v>210</v>
      </c>
      <c r="C42" t="s">
        <v>211</v>
      </c>
      <c r="D42" t="s">
        <v>565</v>
      </c>
      <c r="E42" t="s">
        <v>645</v>
      </c>
      <c r="F42" t="s">
        <v>45</v>
      </c>
      <c r="G42">
        <v>0</v>
      </c>
      <c r="H42">
        <v>0</v>
      </c>
      <c r="I42">
        <f t="shared" si="2"/>
        <v>0</v>
      </c>
      <c r="J42">
        <v>0</v>
      </c>
      <c r="K42">
        <v>0</v>
      </c>
      <c r="L42">
        <v>103</v>
      </c>
      <c r="M42">
        <f t="shared" si="3"/>
        <v>0</v>
      </c>
    </row>
    <row r="43" spans="1:13">
      <c r="A43" t="s">
        <v>214</v>
      </c>
      <c r="B43" s="1" t="s">
        <v>215</v>
      </c>
      <c r="C43" t="s">
        <v>216</v>
      </c>
      <c r="D43" t="s">
        <v>583</v>
      </c>
      <c r="E43" t="s">
        <v>398</v>
      </c>
      <c r="F43" t="s">
        <v>433</v>
      </c>
      <c r="G43">
        <v>1</v>
      </c>
      <c r="H43">
        <v>0.5</v>
      </c>
      <c r="I43">
        <f t="shared" si="2"/>
        <v>0.66666666666666663</v>
      </c>
      <c r="J43">
        <v>0.5</v>
      </c>
      <c r="K43">
        <v>0.2</v>
      </c>
      <c r="L43">
        <v>140</v>
      </c>
      <c r="M43">
        <f t="shared" si="3"/>
        <v>0.28599999999999998</v>
      </c>
    </row>
    <row r="44" spans="1:13">
      <c r="A44" t="s">
        <v>219</v>
      </c>
      <c r="B44" s="1" t="s">
        <v>41</v>
      </c>
      <c r="C44" t="s">
        <v>220</v>
      </c>
      <c r="D44" t="s">
        <v>646</v>
      </c>
      <c r="E44" t="s">
        <v>647</v>
      </c>
      <c r="F44" t="s">
        <v>187</v>
      </c>
      <c r="G44">
        <v>0.33300000000000002</v>
      </c>
      <c r="H44">
        <v>0.5</v>
      </c>
      <c r="I44">
        <f t="shared" si="2"/>
        <v>0.39975990396158467</v>
      </c>
      <c r="J44">
        <v>1</v>
      </c>
      <c r="K44">
        <v>0.25</v>
      </c>
      <c r="L44">
        <v>184</v>
      </c>
      <c r="M44">
        <f t="shared" si="3"/>
        <v>0.4</v>
      </c>
    </row>
    <row r="45" spans="1:13">
      <c r="A45" t="s">
        <v>223</v>
      </c>
      <c r="B45" s="1" t="s">
        <v>224</v>
      </c>
      <c r="C45" t="s">
        <v>119</v>
      </c>
      <c r="D45" t="s">
        <v>648</v>
      </c>
      <c r="E45" t="s">
        <v>649</v>
      </c>
      <c r="F45" t="s">
        <v>455</v>
      </c>
      <c r="G45">
        <v>0.5</v>
      </c>
      <c r="H45">
        <v>0.5</v>
      </c>
      <c r="I45">
        <f t="shared" si="2"/>
        <v>0.5</v>
      </c>
      <c r="J45">
        <v>0.83299999999999996</v>
      </c>
      <c r="K45">
        <v>1</v>
      </c>
      <c r="L45">
        <v>190</v>
      </c>
      <c r="M45">
        <f t="shared" si="3"/>
        <v>0.90900000000000003</v>
      </c>
    </row>
    <row r="46" spans="1:13">
      <c r="A46" t="s">
        <v>226</v>
      </c>
      <c r="B46" s="1" t="s">
        <v>88</v>
      </c>
      <c r="C46" t="s">
        <v>157</v>
      </c>
      <c r="D46" t="s">
        <v>650</v>
      </c>
      <c r="E46" t="s">
        <v>651</v>
      </c>
      <c r="F46" t="s">
        <v>438</v>
      </c>
      <c r="G46">
        <v>0.16700000000000001</v>
      </c>
      <c r="H46">
        <v>1</v>
      </c>
      <c r="I46">
        <f t="shared" si="2"/>
        <v>0.28620394173093405</v>
      </c>
      <c r="J46">
        <v>0.25</v>
      </c>
      <c r="K46">
        <v>0.33300000000000002</v>
      </c>
      <c r="L46">
        <v>273</v>
      </c>
      <c r="M46">
        <f t="shared" si="3"/>
        <v>0.28599999999999998</v>
      </c>
    </row>
    <row r="47" spans="1:13">
      <c r="A47" t="s">
        <v>229</v>
      </c>
      <c r="B47" s="1" t="s">
        <v>230</v>
      </c>
      <c r="C47" t="s">
        <v>231</v>
      </c>
      <c r="D47" t="s">
        <v>565</v>
      </c>
      <c r="E47" t="s">
        <v>652</v>
      </c>
      <c r="F47" t="s">
        <v>27</v>
      </c>
      <c r="G47">
        <v>0</v>
      </c>
      <c r="H47">
        <v>0</v>
      </c>
      <c r="I47">
        <f t="shared" si="2"/>
        <v>0</v>
      </c>
      <c r="J47">
        <v>0.33300000000000002</v>
      </c>
      <c r="K47">
        <v>0.25</v>
      </c>
      <c r="L47">
        <v>104</v>
      </c>
      <c r="M47">
        <f t="shared" si="3"/>
        <v>0.28599999999999998</v>
      </c>
    </row>
    <row r="48" spans="1:13">
      <c r="A48" t="s">
        <v>234</v>
      </c>
      <c r="B48" s="1" t="s">
        <v>88</v>
      </c>
      <c r="C48" t="s">
        <v>235</v>
      </c>
      <c r="D48" t="s">
        <v>653</v>
      </c>
      <c r="E48" t="s">
        <v>505</v>
      </c>
      <c r="F48" t="s">
        <v>438</v>
      </c>
      <c r="G48">
        <v>0</v>
      </c>
      <c r="H48">
        <v>0</v>
      </c>
      <c r="I48">
        <f t="shared" si="2"/>
        <v>0</v>
      </c>
      <c r="J48">
        <v>1</v>
      </c>
      <c r="K48">
        <v>0.75</v>
      </c>
      <c r="L48">
        <v>140</v>
      </c>
      <c r="M48">
        <f t="shared" si="3"/>
        <v>0.85699999999999998</v>
      </c>
    </row>
    <row r="49" spans="1:13">
      <c r="A49" t="s">
        <v>238</v>
      </c>
      <c r="B49" s="1" t="s">
        <v>215</v>
      </c>
      <c r="C49" t="s">
        <v>239</v>
      </c>
      <c r="D49" t="s">
        <v>565</v>
      </c>
      <c r="E49" t="s">
        <v>654</v>
      </c>
      <c r="F49" t="s">
        <v>433</v>
      </c>
      <c r="G49">
        <v>0</v>
      </c>
      <c r="H49">
        <v>0</v>
      </c>
      <c r="I49">
        <f t="shared" si="2"/>
        <v>0</v>
      </c>
      <c r="J49">
        <v>0.25</v>
      </c>
      <c r="K49">
        <v>0.25</v>
      </c>
      <c r="L49">
        <v>107</v>
      </c>
      <c r="M49">
        <f t="shared" si="3"/>
        <v>0.25</v>
      </c>
    </row>
    <row r="50" spans="1:13">
      <c r="A50" t="s">
        <v>241</v>
      </c>
      <c r="B50" s="1" t="s">
        <v>203</v>
      </c>
      <c r="C50" t="s">
        <v>242</v>
      </c>
      <c r="D50" t="s">
        <v>655</v>
      </c>
      <c r="E50" t="s">
        <v>656</v>
      </c>
      <c r="F50" t="s">
        <v>438</v>
      </c>
      <c r="G50">
        <v>0.5</v>
      </c>
      <c r="H50">
        <v>1</v>
      </c>
      <c r="I50">
        <f t="shared" si="2"/>
        <v>0.66666666666666663</v>
      </c>
      <c r="J50">
        <v>0.6</v>
      </c>
      <c r="K50">
        <v>0.75</v>
      </c>
      <c r="L50">
        <v>165</v>
      </c>
      <c r="M50">
        <f t="shared" si="3"/>
        <v>0.66700000000000004</v>
      </c>
    </row>
    <row r="51" spans="1:13">
      <c r="A51" t="s">
        <v>245</v>
      </c>
      <c r="B51" s="1" t="s">
        <v>29</v>
      </c>
      <c r="C51" t="s">
        <v>208</v>
      </c>
      <c r="D51" t="s">
        <v>598</v>
      </c>
      <c r="E51" t="s">
        <v>591</v>
      </c>
      <c r="F51" t="s">
        <v>417</v>
      </c>
      <c r="G51">
        <v>0.66700000000000004</v>
      </c>
      <c r="H51">
        <v>1</v>
      </c>
      <c r="I51">
        <f t="shared" si="2"/>
        <v>0.80023995200959808</v>
      </c>
      <c r="J51">
        <v>0.75</v>
      </c>
      <c r="K51">
        <v>0.75</v>
      </c>
      <c r="L51">
        <v>189</v>
      </c>
      <c r="M51">
        <f t="shared" si="3"/>
        <v>0.75</v>
      </c>
    </row>
    <row r="52" spans="1:13">
      <c r="A52" t="s">
        <v>246</v>
      </c>
      <c r="B52" s="1" t="s">
        <v>247</v>
      </c>
      <c r="C52" t="s">
        <v>248</v>
      </c>
      <c r="D52" t="s">
        <v>657</v>
      </c>
      <c r="E52" t="s">
        <v>658</v>
      </c>
      <c r="G52">
        <v>0.66700000000000004</v>
      </c>
      <c r="H52">
        <v>0.66700000000000004</v>
      </c>
      <c r="I52">
        <f t="shared" si="2"/>
        <v>0.66700000000000004</v>
      </c>
      <c r="J52">
        <v>0</v>
      </c>
      <c r="K52">
        <v>0</v>
      </c>
      <c r="L52">
        <v>146</v>
      </c>
      <c r="M52">
        <f t="shared" si="3"/>
        <v>0</v>
      </c>
    </row>
    <row r="53" spans="1:13">
      <c r="A53" t="s">
        <v>251</v>
      </c>
      <c r="B53" s="1" t="s">
        <v>47</v>
      </c>
      <c r="C53" t="s">
        <v>252</v>
      </c>
      <c r="D53" t="s">
        <v>565</v>
      </c>
      <c r="E53" t="s">
        <v>659</v>
      </c>
      <c r="G53">
        <v>0</v>
      </c>
      <c r="H53">
        <v>0</v>
      </c>
      <c r="I53">
        <f t="shared" si="2"/>
        <v>0</v>
      </c>
      <c r="J53">
        <v>0</v>
      </c>
      <c r="K53">
        <v>0</v>
      </c>
      <c r="L53">
        <v>103</v>
      </c>
      <c r="M53">
        <f t="shared" si="3"/>
        <v>0</v>
      </c>
    </row>
    <row r="54" spans="1:13">
      <c r="A54" t="s">
        <v>255</v>
      </c>
      <c r="B54" s="1" t="s">
        <v>23</v>
      </c>
      <c r="C54" t="s">
        <v>256</v>
      </c>
      <c r="D54" t="s">
        <v>565</v>
      </c>
      <c r="E54" t="s">
        <v>660</v>
      </c>
      <c r="F54" t="s">
        <v>187</v>
      </c>
      <c r="G54">
        <v>0</v>
      </c>
      <c r="H54">
        <v>0</v>
      </c>
      <c r="I54">
        <f t="shared" si="2"/>
        <v>0</v>
      </c>
      <c r="J54">
        <v>0.5</v>
      </c>
      <c r="K54">
        <v>0.33300000000000002</v>
      </c>
      <c r="L54">
        <v>103</v>
      </c>
      <c r="M54">
        <f t="shared" si="3"/>
        <v>0.4</v>
      </c>
    </row>
    <row r="55" spans="1:13">
      <c r="A55" t="s">
        <v>259</v>
      </c>
      <c r="B55" s="1" t="s">
        <v>143</v>
      </c>
      <c r="C55" t="s">
        <v>260</v>
      </c>
      <c r="D55" t="s">
        <v>565</v>
      </c>
      <c r="E55" t="s">
        <v>661</v>
      </c>
      <c r="F55" t="s">
        <v>442</v>
      </c>
      <c r="G55">
        <v>0</v>
      </c>
      <c r="H55">
        <v>0</v>
      </c>
      <c r="I55">
        <f t="shared" si="2"/>
        <v>0</v>
      </c>
      <c r="J55">
        <v>0.25</v>
      </c>
      <c r="K55">
        <v>0.16700000000000001</v>
      </c>
      <c r="L55">
        <v>107</v>
      </c>
      <c r="M55">
        <f t="shared" si="3"/>
        <v>0.2</v>
      </c>
    </row>
    <row r="56" spans="1:13">
      <c r="A56" t="s">
        <v>263</v>
      </c>
      <c r="B56" s="1" t="s">
        <v>93</v>
      </c>
      <c r="C56" t="s">
        <v>264</v>
      </c>
      <c r="D56" t="s">
        <v>662</v>
      </c>
      <c r="E56" t="s">
        <v>663</v>
      </c>
      <c r="F56" t="s">
        <v>442</v>
      </c>
      <c r="G56">
        <v>0.66700000000000004</v>
      </c>
      <c r="H56">
        <v>1</v>
      </c>
      <c r="I56">
        <f t="shared" si="2"/>
        <v>0.80023995200959808</v>
      </c>
      <c r="J56">
        <v>0.66700000000000004</v>
      </c>
      <c r="K56">
        <v>0.5</v>
      </c>
      <c r="L56">
        <v>187</v>
      </c>
      <c r="M56">
        <f t="shared" si="3"/>
        <v>0.57199999999999995</v>
      </c>
    </row>
    <row r="57" spans="1:13">
      <c r="A57" t="s">
        <v>267</v>
      </c>
      <c r="B57" s="1" t="s">
        <v>268</v>
      </c>
      <c r="C57" t="s">
        <v>269</v>
      </c>
      <c r="D57" t="s">
        <v>664</v>
      </c>
      <c r="E57" t="s">
        <v>665</v>
      </c>
      <c r="F57" t="s">
        <v>45</v>
      </c>
      <c r="G57">
        <v>0</v>
      </c>
      <c r="H57">
        <v>0</v>
      </c>
      <c r="I57">
        <f t="shared" si="2"/>
        <v>0</v>
      </c>
      <c r="J57">
        <v>0.25</v>
      </c>
      <c r="K57">
        <v>0.5</v>
      </c>
      <c r="L57">
        <v>217</v>
      </c>
      <c r="M57">
        <f t="shared" si="3"/>
        <v>0.33300000000000002</v>
      </c>
    </row>
    <row r="58" spans="1:13">
      <c r="A58" t="s">
        <v>271</v>
      </c>
      <c r="B58" s="1" t="s">
        <v>272</v>
      </c>
      <c r="C58" t="s">
        <v>273</v>
      </c>
      <c r="D58" t="s">
        <v>118</v>
      </c>
      <c r="E58" t="s">
        <v>273</v>
      </c>
      <c r="F58" t="s">
        <v>45</v>
      </c>
      <c r="G58">
        <v>1</v>
      </c>
      <c r="H58">
        <v>0.33300000000000002</v>
      </c>
      <c r="I58">
        <f t="shared" si="2"/>
        <v>0.4996249062265567</v>
      </c>
      <c r="J58">
        <v>1</v>
      </c>
      <c r="K58">
        <v>1</v>
      </c>
      <c r="L58">
        <v>123</v>
      </c>
      <c r="M58">
        <f t="shared" si="3"/>
        <v>1</v>
      </c>
    </row>
    <row r="59" spans="1:13">
      <c r="A59" t="s">
        <v>276</v>
      </c>
      <c r="B59" s="1" t="s">
        <v>277</v>
      </c>
      <c r="C59" t="s">
        <v>278</v>
      </c>
      <c r="D59" t="s">
        <v>666</v>
      </c>
      <c r="E59" t="s">
        <v>581</v>
      </c>
      <c r="F59" t="s">
        <v>424</v>
      </c>
      <c r="G59">
        <v>0.4</v>
      </c>
      <c r="H59">
        <v>1</v>
      </c>
      <c r="I59">
        <f t="shared" si="2"/>
        <v>0.57142857142857151</v>
      </c>
      <c r="J59">
        <v>0.5</v>
      </c>
      <c r="K59">
        <v>1</v>
      </c>
      <c r="L59">
        <v>266</v>
      </c>
      <c r="M59">
        <f t="shared" si="3"/>
        <v>0.66700000000000004</v>
      </c>
    </row>
    <row r="60" spans="1:13">
      <c r="A60" t="s">
        <v>281</v>
      </c>
      <c r="B60" s="1" t="s">
        <v>29</v>
      </c>
      <c r="C60" t="s">
        <v>264</v>
      </c>
      <c r="D60" t="s">
        <v>662</v>
      </c>
      <c r="E60" t="s">
        <v>516</v>
      </c>
      <c r="F60" t="s">
        <v>442</v>
      </c>
      <c r="G60">
        <v>0.66700000000000004</v>
      </c>
      <c r="H60">
        <v>1</v>
      </c>
      <c r="I60">
        <f t="shared" si="2"/>
        <v>0.80023995200959808</v>
      </c>
      <c r="J60">
        <v>1</v>
      </c>
      <c r="K60">
        <v>0.75</v>
      </c>
      <c r="L60">
        <v>185</v>
      </c>
      <c r="M60">
        <f t="shared" si="3"/>
        <v>0.85699999999999998</v>
      </c>
    </row>
    <row r="61" spans="1:13">
      <c r="A61" t="s">
        <v>284</v>
      </c>
      <c r="B61" s="1" t="s">
        <v>285</v>
      </c>
      <c r="C61" t="s">
        <v>286</v>
      </c>
      <c r="D61" t="s">
        <v>96</v>
      </c>
      <c r="E61" t="s">
        <v>667</v>
      </c>
      <c r="F61" t="s">
        <v>45</v>
      </c>
      <c r="G61">
        <v>1</v>
      </c>
      <c r="H61">
        <v>0.5</v>
      </c>
      <c r="I61">
        <f t="shared" si="2"/>
        <v>0.66666666666666663</v>
      </c>
      <c r="J61">
        <v>1</v>
      </c>
      <c r="K61">
        <v>0.25</v>
      </c>
      <c r="L61">
        <v>167</v>
      </c>
      <c r="M61">
        <f t="shared" si="3"/>
        <v>0.4</v>
      </c>
    </row>
    <row r="62" spans="1:13">
      <c r="A62" t="s">
        <v>289</v>
      </c>
      <c r="B62" s="1" t="s">
        <v>290</v>
      </c>
      <c r="C62" t="s">
        <v>291</v>
      </c>
      <c r="D62" t="s">
        <v>668</v>
      </c>
      <c r="E62" t="s">
        <v>669</v>
      </c>
      <c r="F62" t="s">
        <v>39</v>
      </c>
      <c r="G62">
        <v>0</v>
      </c>
      <c r="H62">
        <v>0</v>
      </c>
      <c r="I62">
        <f t="shared" si="2"/>
        <v>0</v>
      </c>
      <c r="J62">
        <v>0</v>
      </c>
      <c r="K62">
        <v>0</v>
      </c>
      <c r="L62">
        <v>157</v>
      </c>
      <c r="M62">
        <f t="shared" si="3"/>
        <v>0</v>
      </c>
    </row>
    <row r="63" spans="1:13">
      <c r="A63" t="s">
        <v>294</v>
      </c>
      <c r="B63" s="1" t="s">
        <v>88</v>
      </c>
      <c r="C63" t="s">
        <v>295</v>
      </c>
      <c r="D63" t="s">
        <v>670</v>
      </c>
      <c r="E63" t="s">
        <v>671</v>
      </c>
      <c r="F63" t="s">
        <v>438</v>
      </c>
      <c r="G63">
        <v>0</v>
      </c>
      <c r="H63">
        <v>0</v>
      </c>
      <c r="I63">
        <f t="shared" si="2"/>
        <v>0</v>
      </c>
      <c r="J63">
        <v>0.2</v>
      </c>
      <c r="K63">
        <v>0.125</v>
      </c>
      <c r="L63">
        <v>136</v>
      </c>
      <c r="M63">
        <f t="shared" si="3"/>
        <v>0.154</v>
      </c>
    </row>
    <row r="64" spans="1:13">
      <c r="A64" t="s">
        <v>298</v>
      </c>
      <c r="B64" s="1" t="s">
        <v>299</v>
      </c>
      <c r="C64" t="s">
        <v>233</v>
      </c>
      <c r="D64" t="s">
        <v>565</v>
      </c>
      <c r="E64" t="s">
        <v>672</v>
      </c>
      <c r="F64" t="s">
        <v>27</v>
      </c>
      <c r="G64">
        <v>0</v>
      </c>
      <c r="H64">
        <v>0</v>
      </c>
      <c r="I64">
        <f t="shared" si="2"/>
        <v>0</v>
      </c>
      <c r="J64">
        <v>0</v>
      </c>
      <c r="K64">
        <v>0</v>
      </c>
      <c r="L64">
        <v>106</v>
      </c>
      <c r="M64">
        <f t="shared" si="3"/>
        <v>0</v>
      </c>
    </row>
    <row r="65" spans="1:13">
      <c r="A65" t="s">
        <v>302</v>
      </c>
      <c r="B65" s="1" t="s">
        <v>277</v>
      </c>
      <c r="C65" t="s">
        <v>278</v>
      </c>
      <c r="D65" t="s">
        <v>593</v>
      </c>
      <c r="E65" t="s">
        <v>673</v>
      </c>
      <c r="F65" t="s">
        <v>533</v>
      </c>
      <c r="G65">
        <v>0.4</v>
      </c>
      <c r="H65">
        <v>1</v>
      </c>
      <c r="I65">
        <f t="shared" si="2"/>
        <v>0.57142857142857151</v>
      </c>
      <c r="J65">
        <v>0.33300000000000002</v>
      </c>
      <c r="K65">
        <v>1</v>
      </c>
      <c r="L65">
        <v>241</v>
      </c>
      <c r="M65">
        <f t="shared" si="3"/>
        <v>0.5</v>
      </c>
    </row>
    <row r="66" spans="1:13">
      <c r="A66" t="s">
        <v>305</v>
      </c>
      <c r="B66" s="1" t="s">
        <v>47</v>
      </c>
      <c r="C66" t="s">
        <v>306</v>
      </c>
      <c r="D66" t="s">
        <v>674</v>
      </c>
      <c r="E66" t="s">
        <v>675</v>
      </c>
      <c r="F66" t="s">
        <v>417</v>
      </c>
      <c r="G66">
        <v>0.25</v>
      </c>
      <c r="H66">
        <v>0.5</v>
      </c>
      <c r="I66">
        <f t="shared" ref="I66:I94" si="4">IF(G66+H66=0,0,2*G66*H66/(G66+H66))</f>
        <v>0.33333333333333331</v>
      </c>
      <c r="J66">
        <v>0.57099999999999995</v>
      </c>
      <c r="K66">
        <v>1</v>
      </c>
      <c r="L66">
        <v>228</v>
      </c>
      <c r="M66">
        <f t="shared" ref="M66:M94" si="5">IF(J66+K66=0,0,ROUND(2*J66*K66/(J66+K66),3))</f>
        <v>0.72699999999999998</v>
      </c>
    </row>
    <row r="67" spans="1:13">
      <c r="A67" t="s">
        <v>309</v>
      </c>
      <c r="B67" s="1" t="s">
        <v>310</v>
      </c>
      <c r="C67" t="s">
        <v>311</v>
      </c>
      <c r="D67" t="s">
        <v>594</v>
      </c>
      <c r="E67" t="s">
        <v>676</v>
      </c>
      <c r="F67" t="s">
        <v>442</v>
      </c>
      <c r="G67">
        <v>0</v>
      </c>
      <c r="H67">
        <v>0</v>
      </c>
      <c r="I67">
        <f t="shared" si="4"/>
        <v>0</v>
      </c>
      <c r="J67">
        <v>0</v>
      </c>
      <c r="K67">
        <v>0</v>
      </c>
      <c r="L67">
        <v>145</v>
      </c>
      <c r="M67">
        <f t="shared" si="5"/>
        <v>0</v>
      </c>
    </row>
    <row r="68" spans="1:13">
      <c r="A68" t="s">
        <v>314</v>
      </c>
      <c r="B68" s="1" t="s">
        <v>315</v>
      </c>
      <c r="C68" t="s">
        <v>316</v>
      </c>
      <c r="D68" t="s">
        <v>565</v>
      </c>
      <c r="E68" t="s">
        <v>677</v>
      </c>
      <c r="G68">
        <v>0</v>
      </c>
      <c r="H68">
        <v>0</v>
      </c>
      <c r="I68">
        <f t="shared" si="4"/>
        <v>0</v>
      </c>
      <c r="J68">
        <v>0</v>
      </c>
      <c r="K68">
        <v>0</v>
      </c>
      <c r="L68">
        <v>104</v>
      </c>
      <c r="M68">
        <f t="shared" si="5"/>
        <v>0</v>
      </c>
    </row>
    <row r="69" spans="1:13">
      <c r="A69" t="s">
        <v>319</v>
      </c>
      <c r="B69" s="1" t="s">
        <v>320</v>
      </c>
      <c r="C69" t="s">
        <v>321</v>
      </c>
      <c r="D69" t="s">
        <v>565</v>
      </c>
      <c r="E69" t="s">
        <v>678</v>
      </c>
      <c r="F69" t="s">
        <v>442</v>
      </c>
      <c r="G69">
        <v>0</v>
      </c>
      <c r="H69">
        <v>0</v>
      </c>
      <c r="I69">
        <f t="shared" si="4"/>
        <v>0</v>
      </c>
      <c r="J69">
        <v>0.66700000000000004</v>
      </c>
      <c r="K69">
        <v>0.5</v>
      </c>
      <c r="L69">
        <v>103</v>
      </c>
      <c r="M69">
        <f t="shared" si="5"/>
        <v>0.57199999999999995</v>
      </c>
    </row>
    <row r="70" spans="1:13">
      <c r="A70" t="s">
        <v>324</v>
      </c>
      <c r="B70" s="1" t="s">
        <v>29</v>
      </c>
      <c r="C70" t="s">
        <v>325</v>
      </c>
      <c r="D70" t="s">
        <v>598</v>
      </c>
      <c r="E70" t="s">
        <v>679</v>
      </c>
      <c r="F70" t="s">
        <v>417</v>
      </c>
      <c r="G70">
        <v>0.66700000000000004</v>
      </c>
      <c r="H70">
        <v>1</v>
      </c>
      <c r="I70">
        <f t="shared" si="4"/>
        <v>0.80023995200959808</v>
      </c>
      <c r="J70">
        <v>1</v>
      </c>
      <c r="K70">
        <v>0.66700000000000004</v>
      </c>
      <c r="L70">
        <v>186</v>
      </c>
      <c r="M70">
        <f t="shared" si="5"/>
        <v>0.8</v>
      </c>
    </row>
    <row r="71" spans="1:13">
      <c r="A71" t="s">
        <v>328</v>
      </c>
      <c r="B71" s="1" t="s">
        <v>47</v>
      </c>
      <c r="C71" t="s">
        <v>148</v>
      </c>
      <c r="D71" t="s">
        <v>588</v>
      </c>
      <c r="E71" t="s">
        <v>680</v>
      </c>
      <c r="F71" t="s">
        <v>424</v>
      </c>
      <c r="G71">
        <v>1</v>
      </c>
      <c r="H71">
        <v>0.5</v>
      </c>
      <c r="I71">
        <f t="shared" si="4"/>
        <v>0.66666666666666663</v>
      </c>
      <c r="J71">
        <v>0.66700000000000004</v>
      </c>
      <c r="K71">
        <v>1</v>
      </c>
      <c r="L71">
        <v>109</v>
      </c>
      <c r="M71">
        <f t="shared" si="5"/>
        <v>0.8</v>
      </c>
    </row>
    <row r="72" spans="1:13">
      <c r="A72" t="s">
        <v>40</v>
      </c>
      <c r="B72" s="1" t="s">
        <v>70</v>
      </c>
      <c r="C72" t="s">
        <v>273</v>
      </c>
      <c r="D72" t="s">
        <v>96</v>
      </c>
      <c r="E72" t="s">
        <v>681</v>
      </c>
      <c r="F72" t="s">
        <v>45</v>
      </c>
      <c r="G72">
        <v>0</v>
      </c>
      <c r="H72">
        <v>0</v>
      </c>
      <c r="I72">
        <f t="shared" si="4"/>
        <v>0</v>
      </c>
      <c r="J72">
        <v>0.5</v>
      </c>
      <c r="K72">
        <v>1</v>
      </c>
      <c r="L72">
        <v>173</v>
      </c>
      <c r="M72">
        <f t="shared" si="5"/>
        <v>0.66700000000000004</v>
      </c>
    </row>
    <row r="73" spans="1:13">
      <c r="A73" t="s">
        <v>331</v>
      </c>
      <c r="B73" s="1" t="s">
        <v>70</v>
      </c>
      <c r="C73" t="s">
        <v>332</v>
      </c>
      <c r="D73" t="s">
        <v>565</v>
      </c>
      <c r="E73" t="s">
        <v>682</v>
      </c>
      <c r="F73" t="s">
        <v>433</v>
      </c>
      <c r="G73">
        <v>0</v>
      </c>
      <c r="H73">
        <v>0</v>
      </c>
      <c r="I73">
        <f t="shared" si="4"/>
        <v>0</v>
      </c>
      <c r="J73">
        <v>0.33300000000000002</v>
      </c>
      <c r="K73">
        <v>1</v>
      </c>
      <c r="L73">
        <v>108</v>
      </c>
      <c r="M73">
        <f t="shared" si="5"/>
        <v>0.5</v>
      </c>
    </row>
    <row r="74" spans="1:13">
      <c r="A74" t="s">
        <v>335</v>
      </c>
      <c r="B74" s="1" t="s">
        <v>41</v>
      </c>
      <c r="C74" t="s">
        <v>336</v>
      </c>
      <c r="D74" t="s">
        <v>683</v>
      </c>
      <c r="E74" t="s">
        <v>338</v>
      </c>
      <c r="F74" t="s">
        <v>187</v>
      </c>
      <c r="G74">
        <v>0.2</v>
      </c>
      <c r="H74">
        <v>0.5</v>
      </c>
      <c r="I74">
        <f t="shared" si="4"/>
        <v>0.28571428571428575</v>
      </c>
      <c r="J74">
        <v>1</v>
      </c>
      <c r="K74">
        <v>0.33300000000000002</v>
      </c>
      <c r="L74">
        <v>207</v>
      </c>
      <c r="M74">
        <f t="shared" si="5"/>
        <v>0.5</v>
      </c>
    </row>
    <row r="75" spans="1:13">
      <c r="A75" t="s">
        <v>339</v>
      </c>
      <c r="B75" s="1" t="s">
        <v>340</v>
      </c>
      <c r="C75" t="s">
        <v>341</v>
      </c>
      <c r="D75" t="s">
        <v>565</v>
      </c>
      <c r="E75" t="s">
        <v>684</v>
      </c>
      <c r="G75">
        <v>0</v>
      </c>
      <c r="H75">
        <v>0</v>
      </c>
      <c r="I75">
        <f t="shared" si="4"/>
        <v>0</v>
      </c>
      <c r="J75">
        <v>0</v>
      </c>
      <c r="K75">
        <v>0</v>
      </c>
      <c r="L75">
        <v>116</v>
      </c>
      <c r="M75">
        <f t="shared" si="5"/>
        <v>0</v>
      </c>
    </row>
    <row r="76" spans="1:13">
      <c r="A76" t="s">
        <v>344</v>
      </c>
      <c r="B76" s="1" t="s">
        <v>299</v>
      </c>
      <c r="C76" t="s">
        <v>345</v>
      </c>
      <c r="D76" t="s">
        <v>565</v>
      </c>
      <c r="E76" t="s">
        <v>685</v>
      </c>
      <c r="G76">
        <v>0</v>
      </c>
      <c r="H76">
        <v>0</v>
      </c>
      <c r="I76">
        <f t="shared" si="4"/>
        <v>0</v>
      </c>
      <c r="J76">
        <v>0</v>
      </c>
      <c r="K76">
        <v>0</v>
      </c>
      <c r="L76">
        <v>111</v>
      </c>
      <c r="M76">
        <f t="shared" si="5"/>
        <v>0</v>
      </c>
    </row>
    <row r="77" spans="1:13">
      <c r="A77" t="s">
        <v>348</v>
      </c>
      <c r="B77" s="1" t="s">
        <v>315</v>
      </c>
      <c r="C77" t="s">
        <v>349</v>
      </c>
      <c r="D77" t="s">
        <v>315</v>
      </c>
      <c r="E77" t="s">
        <v>686</v>
      </c>
      <c r="F77" t="s">
        <v>27</v>
      </c>
      <c r="G77">
        <v>1</v>
      </c>
      <c r="H77">
        <v>1</v>
      </c>
      <c r="I77">
        <f t="shared" si="4"/>
        <v>1</v>
      </c>
      <c r="J77">
        <v>1</v>
      </c>
      <c r="K77">
        <v>0.66700000000000004</v>
      </c>
      <c r="L77">
        <v>123</v>
      </c>
      <c r="M77">
        <f t="shared" si="5"/>
        <v>0.8</v>
      </c>
    </row>
    <row r="78" spans="1:13">
      <c r="A78" t="s">
        <v>353</v>
      </c>
      <c r="B78" s="1" t="s">
        <v>354</v>
      </c>
      <c r="C78" t="s">
        <v>355</v>
      </c>
      <c r="D78" t="s">
        <v>565</v>
      </c>
      <c r="E78" t="s">
        <v>687</v>
      </c>
      <c r="F78" t="s">
        <v>442</v>
      </c>
      <c r="G78">
        <v>0</v>
      </c>
      <c r="H78">
        <v>0</v>
      </c>
      <c r="I78">
        <f t="shared" si="4"/>
        <v>0</v>
      </c>
      <c r="J78">
        <v>1</v>
      </c>
      <c r="K78">
        <v>1</v>
      </c>
      <c r="L78">
        <v>103</v>
      </c>
      <c r="M78">
        <f t="shared" si="5"/>
        <v>1</v>
      </c>
    </row>
    <row r="79" spans="1:13">
      <c r="A79" t="s">
        <v>357</v>
      </c>
      <c r="B79" s="1" t="s">
        <v>29</v>
      </c>
      <c r="C79" t="s">
        <v>358</v>
      </c>
      <c r="D79" t="s">
        <v>598</v>
      </c>
      <c r="E79" t="s">
        <v>688</v>
      </c>
      <c r="F79" t="s">
        <v>417</v>
      </c>
      <c r="G79">
        <v>0.66700000000000004</v>
      </c>
      <c r="H79">
        <v>1</v>
      </c>
      <c r="I79">
        <f t="shared" si="4"/>
        <v>0.80023995200959808</v>
      </c>
      <c r="J79">
        <v>0.6</v>
      </c>
      <c r="K79">
        <v>0.75</v>
      </c>
      <c r="L79">
        <v>190</v>
      </c>
      <c r="M79">
        <f t="shared" si="5"/>
        <v>0.66700000000000004</v>
      </c>
    </row>
    <row r="80" spans="1:13">
      <c r="A80" t="s">
        <v>359</v>
      </c>
      <c r="B80" s="1" t="s">
        <v>360</v>
      </c>
      <c r="C80" t="s">
        <v>361</v>
      </c>
      <c r="D80" t="s">
        <v>565</v>
      </c>
      <c r="E80" t="s">
        <v>689</v>
      </c>
      <c r="F80" t="s">
        <v>442</v>
      </c>
      <c r="G80">
        <v>0</v>
      </c>
      <c r="H80">
        <v>0</v>
      </c>
      <c r="I80">
        <f t="shared" si="4"/>
        <v>0</v>
      </c>
      <c r="J80">
        <v>0.33300000000000002</v>
      </c>
      <c r="K80">
        <v>0.25</v>
      </c>
      <c r="L80">
        <v>109</v>
      </c>
      <c r="M80">
        <f t="shared" si="5"/>
        <v>0.28599999999999998</v>
      </c>
    </row>
    <row r="81" spans="1:13">
      <c r="A81" s="6" t="s">
        <v>364</v>
      </c>
      <c r="B81" s="1" t="s">
        <v>365</v>
      </c>
      <c r="C81" t="s">
        <v>355</v>
      </c>
      <c r="D81" t="s">
        <v>565</v>
      </c>
      <c r="E81" t="s">
        <v>690</v>
      </c>
      <c r="F81" t="s">
        <v>442</v>
      </c>
      <c r="G81">
        <v>0</v>
      </c>
      <c r="H81">
        <v>0</v>
      </c>
      <c r="I81">
        <f t="shared" si="4"/>
        <v>0</v>
      </c>
      <c r="J81">
        <v>0.5</v>
      </c>
      <c r="K81">
        <v>0.5</v>
      </c>
      <c r="L81">
        <v>106</v>
      </c>
      <c r="M81">
        <f t="shared" si="5"/>
        <v>0.5</v>
      </c>
    </row>
    <row r="82" spans="1:13">
      <c r="A82" t="s">
        <v>368</v>
      </c>
      <c r="B82" s="1" t="s">
        <v>369</v>
      </c>
      <c r="C82" t="s">
        <v>370</v>
      </c>
      <c r="D82" t="s">
        <v>691</v>
      </c>
      <c r="E82" t="s">
        <v>692</v>
      </c>
      <c r="F82" t="s">
        <v>442</v>
      </c>
      <c r="G82">
        <v>0.66700000000000004</v>
      </c>
      <c r="H82">
        <v>1</v>
      </c>
      <c r="I82">
        <f t="shared" si="4"/>
        <v>0.80023995200959808</v>
      </c>
      <c r="J82">
        <v>0.57099999999999995</v>
      </c>
      <c r="K82">
        <v>1</v>
      </c>
      <c r="L82">
        <v>141</v>
      </c>
      <c r="M82">
        <f t="shared" si="5"/>
        <v>0.72699999999999998</v>
      </c>
    </row>
    <row r="83" spans="1:13">
      <c r="A83" t="s">
        <v>373</v>
      </c>
      <c r="B83" s="1" t="s">
        <v>374</v>
      </c>
      <c r="C83" t="s">
        <v>375</v>
      </c>
      <c r="D83" t="s">
        <v>565</v>
      </c>
      <c r="E83" t="s">
        <v>693</v>
      </c>
      <c r="F83" t="s">
        <v>45</v>
      </c>
      <c r="G83">
        <v>0</v>
      </c>
      <c r="H83">
        <v>0</v>
      </c>
      <c r="I83">
        <f t="shared" si="4"/>
        <v>0</v>
      </c>
      <c r="J83">
        <v>0</v>
      </c>
      <c r="K83">
        <v>0</v>
      </c>
      <c r="L83">
        <v>107</v>
      </c>
      <c r="M83">
        <f t="shared" si="5"/>
        <v>0</v>
      </c>
    </row>
    <row r="84" spans="1:13">
      <c r="A84" t="s">
        <v>378</v>
      </c>
      <c r="B84" s="1" t="s">
        <v>230</v>
      </c>
      <c r="C84" t="s">
        <v>379</v>
      </c>
      <c r="D84" t="s">
        <v>565</v>
      </c>
      <c r="E84" t="s">
        <v>694</v>
      </c>
      <c r="G84">
        <v>0</v>
      </c>
      <c r="H84">
        <v>0</v>
      </c>
      <c r="I84">
        <f t="shared" si="4"/>
        <v>0</v>
      </c>
      <c r="J84">
        <v>0</v>
      </c>
      <c r="K84">
        <v>0</v>
      </c>
      <c r="L84">
        <v>114</v>
      </c>
      <c r="M84">
        <f t="shared" si="5"/>
        <v>0</v>
      </c>
    </row>
    <row r="85" spans="1:13">
      <c r="A85" t="s">
        <v>382</v>
      </c>
      <c r="B85" s="1" t="s">
        <v>41</v>
      </c>
      <c r="C85" t="s">
        <v>383</v>
      </c>
      <c r="D85" t="s">
        <v>565</v>
      </c>
      <c r="E85" t="s">
        <v>566</v>
      </c>
      <c r="G85">
        <v>0</v>
      </c>
      <c r="H85">
        <v>0</v>
      </c>
      <c r="I85">
        <f t="shared" si="4"/>
        <v>0</v>
      </c>
      <c r="J85">
        <v>0</v>
      </c>
      <c r="K85">
        <v>0</v>
      </c>
      <c r="L85">
        <v>118</v>
      </c>
      <c r="M85">
        <f t="shared" si="5"/>
        <v>0</v>
      </c>
    </row>
    <row r="86" spans="1:13">
      <c r="A86" t="s">
        <v>386</v>
      </c>
      <c r="B86" s="1" t="s">
        <v>70</v>
      </c>
      <c r="C86" t="s">
        <v>387</v>
      </c>
      <c r="D86" t="s">
        <v>565</v>
      </c>
      <c r="E86" t="s">
        <v>695</v>
      </c>
      <c r="F86" t="s">
        <v>45</v>
      </c>
      <c r="G86">
        <v>0</v>
      </c>
      <c r="H86">
        <v>0</v>
      </c>
      <c r="I86">
        <f t="shared" si="4"/>
        <v>0</v>
      </c>
      <c r="J86">
        <v>0</v>
      </c>
      <c r="K86">
        <v>0</v>
      </c>
      <c r="L86">
        <v>121</v>
      </c>
      <c r="M86">
        <f t="shared" si="5"/>
        <v>0</v>
      </c>
    </row>
    <row r="87" spans="1:13">
      <c r="A87" t="s">
        <v>390</v>
      </c>
      <c r="B87" s="1" t="s">
        <v>41</v>
      </c>
      <c r="C87" t="s">
        <v>391</v>
      </c>
      <c r="D87" t="s">
        <v>696</v>
      </c>
      <c r="E87" t="s">
        <v>592</v>
      </c>
      <c r="F87" t="s">
        <v>27</v>
      </c>
      <c r="G87">
        <v>0</v>
      </c>
      <c r="H87">
        <v>0</v>
      </c>
      <c r="I87">
        <f t="shared" si="4"/>
        <v>0</v>
      </c>
      <c r="J87">
        <v>1</v>
      </c>
      <c r="K87">
        <v>0.5</v>
      </c>
      <c r="L87">
        <v>164</v>
      </c>
      <c r="M87">
        <f t="shared" si="5"/>
        <v>0.66700000000000004</v>
      </c>
    </row>
    <row r="88" spans="1:13">
      <c r="A88" t="s">
        <v>394</v>
      </c>
      <c r="B88" s="1" t="s">
        <v>395</v>
      </c>
      <c r="C88" t="s">
        <v>396</v>
      </c>
      <c r="D88" t="s">
        <v>565</v>
      </c>
      <c r="E88" t="s">
        <v>697</v>
      </c>
      <c r="F88" t="s">
        <v>433</v>
      </c>
      <c r="G88">
        <v>0</v>
      </c>
      <c r="H88">
        <v>0</v>
      </c>
      <c r="I88">
        <f t="shared" si="4"/>
        <v>0</v>
      </c>
      <c r="J88">
        <v>0.33300000000000002</v>
      </c>
      <c r="K88">
        <v>0.33300000000000002</v>
      </c>
      <c r="L88">
        <v>106</v>
      </c>
      <c r="M88">
        <f t="shared" si="5"/>
        <v>0.33300000000000002</v>
      </c>
    </row>
    <row r="89" spans="1:13">
      <c r="A89" t="s">
        <v>399</v>
      </c>
      <c r="B89" s="1" t="s">
        <v>59</v>
      </c>
      <c r="C89" t="s">
        <v>400</v>
      </c>
      <c r="D89" t="s">
        <v>59</v>
      </c>
      <c r="E89" t="s">
        <v>698</v>
      </c>
      <c r="F89" t="s">
        <v>429</v>
      </c>
      <c r="G89">
        <v>1</v>
      </c>
      <c r="H89">
        <v>1</v>
      </c>
      <c r="I89">
        <f t="shared" si="4"/>
        <v>1</v>
      </c>
      <c r="J89">
        <v>0.4</v>
      </c>
      <c r="K89">
        <v>1</v>
      </c>
      <c r="L89">
        <v>138</v>
      </c>
      <c r="M89">
        <f t="shared" si="5"/>
        <v>0.57099999999999995</v>
      </c>
    </row>
    <row r="90" spans="1:13">
      <c r="A90" t="s">
        <v>335</v>
      </c>
      <c r="B90" s="1" t="s">
        <v>41</v>
      </c>
      <c r="C90" t="s">
        <v>336</v>
      </c>
      <c r="D90" t="s">
        <v>683</v>
      </c>
      <c r="E90" t="s">
        <v>338</v>
      </c>
      <c r="F90" t="s">
        <v>187</v>
      </c>
      <c r="G90">
        <v>0.2</v>
      </c>
      <c r="H90">
        <v>0.5</v>
      </c>
      <c r="I90">
        <f t="shared" si="4"/>
        <v>0.28571428571428575</v>
      </c>
      <c r="J90">
        <v>1</v>
      </c>
      <c r="K90">
        <v>0.33300000000000002</v>
      </c>
      <c r="L90">
        <v>207</v>
      </c>
      <c r="M90">
        <f t="shared" si="5"/>
        <v>0.5</v>
      </c>
    </row>
    <row r="91" spans="1:13">
      <c r="A91" t="s">
        <v>403</v>
      </c>
      <c r="B91" s="1" t="s">
        <v>230</v>
      </c>
      <c r="C91" t="s">
        <v>404</v>
      </c>
      <c r="D91" t="s">
        <v>699</v>
      </c>
      <c r="E91" t="s">
        <v>700</v>
      </c>
      <c r="F91" t="s">
        <v>433</v>
      </c>
      <c r="G91">
        <v>0.33300000000000002</v>
      </c>
      <c r="H91">
        <v>0.5</v>
      </c>
      <c r="I91">
        <f t="shared" si="4"/>
        <v>0.39975990396158467</v>
      </c>
      <c r="J91">
        <v>0.25</v>
      </c>
      <c r="K91">
        <v>0.2</v>
      </c>
      <c r="L91">
        <v>192</v>
      </c>
      <c r="M91">
        <f t="shared" si="5"/>
        <v>0.222</v>
      </c>
    </row>
    <row r="92" spans="1:13">
      <c r="A92" t="s">
        <v>407</v>
      </c>
      <c r="B92" s="1" t="s">
        <v>35</v>
      </c>
      <c r="C92" t="s">
        <v>408</v>
      </c>
      <c r="D92" t="s">
        <v>565</v>
      </c>
      <c r="E92" t="s">
        <v>701</v>
      </c>
      <c r="F92" t="s">
        <v>39</v>
      </c>
      <c r="G92">
        <v>0</v>
      </c>
      <c r="H92">
        <v>0</v>
      </c>
      <c r="I92">
        <f t="shared" si="4"/>
        <v>0</v>
      </c>
      <c r="J92">
        <v>0.33300000000000002</v>
      </c>
      <c r="K92">
        <v>0.33300000000000002</v>
      </c>
      <c r="L92">
        <v>106</v>
      </c>
      <c r="M92">
        <f t="shared" si="5"/>
        <v>0.33300000000000002</v>
      </c>
    </row>
    <row r="93" spans="1:13">
      <c r="A93" t="s">
        <v>410</v>
      </c>
      <c r="B93" s="1" t="s">
        <v>59</v>
      </c>
      <c r="C93" t="s">
        <v>400</v>
      </c>
      <c r="D93" t="s">
        <v>59</v>
      </c>
      <c r="E93" t="s">
        <v>698</v>
      </c>
      <c r="F93" t="s">
        <v>429</v>
      </c>
      <c r="G93">
        <v>1</v>
      </c>
      <c r="H93">
        <v>1</v>
      </c>
      <c r="I93">
        <f t="shared" si="4"/>
        <v>1</v>
      </c>
      <c r="J93">
        <v>0.4</v>
      </c>
      <c r="K93">
        <v>1</v>
      </c>
      <c r="L93">
        <v>139</v>
      </c>
      <c r="M93">
        <f t="shared" si="5"/>
        <v>0.57099999999999995</v>
      </c>
    </row>
    <row r="94" spans="1:13">
      <c r="A94" t="s">
        <v>413</v>
      </c>
      <c r="B94" s="1" t="s">
        <v>88</v>
      </c>
      <c r="C94" t="s">
        <v>278</v>
      </c>
      <c r="D94" t="s">
        <v>96</v>
      </c>
      <c r="E94" t="s">
        <v>702</v>
      </c>
      <c r="G94">
        <v>0</v>
      </c>
      <c r="H94">
        <v>0</v>
      </c>
      <c r="I94">
        <f t="shared" si="4"/>
        <v>0</v>
      </c>
      <c r="J94">
        <v>0</v>
      </c>
      <c r="K94">
        <v>0</v>
      </c>
      <c r="L94">
        <v>169</v>
      </c>
      <c r="M94">
        <f t="shared" si="5"/>
        <v>0</v>
      </c>
    </row>
  </sheetData>
  <autoFilter ref="M1:M94" xr:uid="{00000000-0009-0000-0000-000004000000}"/>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4"/>
  <sheetViews>
    <sheetView workbookViewId="0"/>
  </sheetViews>
  <sheetFormatPr defaultRowHeight="18"/>
  <cols>
    <col min="1" max="1" width="13.25" customWidth="1"/>
    <col min="5" max="5" width="20.25" bestFit="1" customWidth="1"/>
  </cols>
  <sheetData>
    <row r="1" spans="1:7">
      <c r="A1" t="s">
        <v>710</v>
      </c>
      <c r="B1" t="s">
        <v>711</v>
      </c>
      <c r="C1" t="s">
        <v>712</v>
      </c>
      <c r="D1" t="s">
        <v>713</v>
      </c>
      <c r="E1" t="s">
        <v>714</v>
      </c>
      <c r="F1" t="s">
        <v>715</v>
      </c>
      <c r="G1">
        <v>746</v>
      </c>
    </row>
    <row r="2" spans="1:7">
      <c r="A2" s="1" t="s">
        <v>716</v>
      </c>
      <c r="B2" s="1" t="s">
        <v>717</v>
      </c>
      <c r="C2" s="1" t="s">
        <v>718</v>
      </c>
      <c r="D2">
        <v>4</v>
      </c>
      <c r="E2">
        <v>12</v>
      </c>
      <c r="F2" s="5">
        <f t="shared" ref="F2:F24" si="0">E2/$G$1</f>
        <v>1.6085790884718499E-2</v>
      </c>
    </row>
    <row r="3" spans="1:7">
      <c r="A3" s="1" t="s">
        <v>719</v>
      </c>
      <c r="B3" s="1" t="s">
        <v>118</v>
      </c>
      <c r="C3" t="s">
        <v>720</v>
      </c>
      <c r="D3">
        <v>8</v>
      </c>
      <c r="E3">
        <v>22</v>
      </c>
      <c r="F3" s="5">
        <f t="shared" si="0"/>
        <v>2.9490616621983913E-2</v>
      </c>
    </row>
    <row r="4" spans="1:7">
      <c r="A4" s="1" t="s">
        <v>721</v>
      </c>
      <c r="B4" s="1" t="s">
        <v>96</v>
      </c>
      <c r="C4" t="s">
        <v>722</v>
      </c>
      <c r="D4">
        <v>23</v>
      </c>
      <c r="E4">
        <v>66</v>
      </c>
      <c r="F4" s="5">
        <f t="shared" si="0"/>
        <v>8.8471849865951746E-2</v>
      </c>
    </row>
    <row r="5" spans="1:7">
      <c r="A5" s="1" t="s">
        <v>723</v>
      </c>
      <c r="B5" s="1" t="s">
        <v>653</v>
      </c>
      <c r="C5" t="s">
        <v>724</v>
      </c>
      <c r="D5">
        <v>12</v>
      </c>
      <c r="E5">
        <v>34</v>
      </c>
      <c r="F5" s="5">
        <f t="shared" si="0"/>
        <v>4.5576407506702415E-2</v>
      </c>
    </row>
    <row r="6" spans="1:7">
      <c r="A6" s="1" t="s">
        <v>725</v>
      </c>
      <c r="B6" s="1" t="s">
        <v>143</v>
      </c>
      <c r="C6" t="s">
        <v>726</v>
      </c>
      <c r="D6">
        <v>17</v>
      </c>
      <c r="E6">
        <v>42</v>
      </c>
      <c r="F6" s="5">
        <f t="shared" si="0"/>
        <v>5.6300268096514748E-2</v>
      </c>
    </row>
    <row r="7" spans="1:7">
      <c r="A7" s="1" t="s">
        <v>727</v>
      </c>
      <c r="B7" s="1" t="s">
        <v>728</v>
      </c>
      <c r="C7" s="1" t="s">
        <v>729</v>
      </c>
      <c r="D7">
        <v>5</v>
      </c>
      <c r="E7">
        <v>14</v>
      </c>
      <c r="F7" s="5">
        <f t="shared" si="0"/>
        <v>1.876675603217158E-2</v>
      </c>
    </row>
    <row r="8" spans="1:7">
      <c r="A8" s="1" t="s">
        <v>730</v>
      </c>
      <c r="B8" s="1" t="s">
        <v>731</v>
      </c>
      <c r="C8" s="1" t="s">
        <v>732</v>
      </c>
      <c r="D8">
        <v>12</v>
      </c>
      <c r="E8">
        <v>33</v>
      </c>
      <c r="F8" s="5">
        <f t="shared" si="0"/>
        <v>4.4235924932975873E-2</v>
      </c>
    </row>
    <row r="9" spans="1:7">
      <c r="A9" s="1" t="s">
        <v>733</v>
      </c>
      <c r="B9" s="1" t="s">
        <v>670</v>
      </c>
      <c r="C9" s="1" t="s">
        <v>734</v>
      </c>
      <c r="D9">
        <v>11</v>
      </c>
      <c r="E9">
        <v>26</v>
      </c>
      <c r="F9" s="5">
        <f t="shared" si="0"/>
        <v>3.4852546916890083E-2</v>
      </c>
    </row>
    <row r="10" spans="1:7">
      <c r="A10" s="2" t="s">
        <v>735</v>
      </c>
      <c r="B10" s="1" t="s">
        <v>183</v>
      </c>
      <c r="C10" s="1" t="s">
        <v>736</v>
      </c>
      <c r="D10">
        <v>4</v>
      </c>
      <c r="E10">
        <v>11</v>
      </c>
      <c r="F10" s="5">
        <f t="shared" si="0"/>
        <v>1.4745308310991957E-2</v>
      </c>
    </row>
    <row r="11" spans="1:7" ht="18.5" customHeight="1">
      <c r="A11" s="2" t="s">
        <v>737</v>
      </c>
      <c r="B11" s="1" t="s">
        <v>35</v>
      </c>
      <c r="C11" s="1" t="s">
        <v>738</v>
      </c>
      <c r="D11">
        <v>10</v>
      </c>
      <c r="E11">
        <v>31</v>
      </c>
      <c r="F11" s="5">
        <f t="shared" si="0"/>
        <v>4.1554959785522788E-2</v>
      </c>
    </row>
    <row r="12" spans="1:7">
      <c r="A12" s="2" t="s">
        <v>739</v>
      </c>
      <c r="B12" s="1" t="s">
        <v>59</v>
      </c>
      <c r="C12" s="1" t="s">
        <v>740</v>
      </c>
      <c r="D12">
        <v>9</v>
      </c>
      <c r="E12">
        <v>26</v>
      </c>
      <c r="F12" s="5">
        <f t="shared" si="0"/>
        <v>3.4852546916890083E-2</v>
      </c>
    </row>
    <row r="13" spans="1:7">
      <c r="A13" s="2" t="s">
        <v>741</v>
      </c>
      <c r="B13" s="1" t="s">
        <v>742</v>
      </c>
      <c r="C13" s="1" t="s">
        <v>743</v>
      </c>
      <c r="D13">
        <v>4</v>
      </c>
      <c r="E13">
        <v>11</v>
      </c>
      <c r="F13" s="5">
        <f t="shared" si="0"/>
        <v>1.4745308310991957E-2</v>
      </c>
    </row>
    <row r="14" spans="1:7">
      <c r="A14" s="1" t="s">
        <v>744</v>
      </c>
      <c r="B14" s="1" t="s">
        <v>595</v>
      </c>
      <c r="C14" s="1" t="s">
        <v>745</v>
      </c>
      <c r="D14">
        <v>23</v>
      </c>
      <c r="E14">
        <v>64</v>
      </c>
      <c r="F14" s="5">
        <f t="shared" si="0"/>
        <v>8.5790884718498661E-2</v>
      </c>
    </row>
    <row r="15" spans="1:7">
      <c r="A15" s="1" t="s">
        <v>746</v>
      </c>
      <c r="B15" s="1" t="s">
        <v>88</v>
      </c>
      <c r="C15" s="1" t="s">
        <v>747</v>
      </c>
      <c r="D15">
        <v>21</v>
      </c>
      <c r="E15">
        <v>61</v>
      </c>
      <c r="F15" s="5">
        <f t="shared" si="0"/>
        <v>8.1769436997319034E-2</v>
      </c>
    </row>
    <row r="16" spans="1:7">
      <c r="A16" s="1" t="s">
        <v>748</v>
      </c>
      <c r="B16" s="1" t="s">
        <v>583</v>
      </c>
      <c r="C16" s="1" t="s">
        <v>749</v>
      </c>
      <c r="D16">
        <v>13</v>
      </c>
      <c r="E16">
        <v>39</v>
      </c>
      <c r="F16" s="5">
        <f t="shared" si="0"/>
        <v>5.2278820375335121E-2</v>
      </c>
    </row>
    <row r="17" spans="1:6">
      <c r="A17" s="1" t="s">
        <v>750</v>
      </c>
      <c r="B17" s="1" t="s">
        <v>751</v>
      </c>
      <c r="C17" s="1" t="s">
        <v>752</v>
      </c>
      <c r="D17">
        <v>5</v>
      </c>
      <c r="E17">
        <v>13</v>
      </c>
      <c r="F17" s="5">
        <f t="shared" si="0"/>
        <v>1.7426273458445041E-2</v>
      </c>
    </row>
    <row r="18" spans="1:6">
      <c r="A18" s="1" t="s">
        <v>753</v>
      </c>
      <c r="B18" s="1" t="s">
        <v>203</v>
      </c>
      <c r="C18" s="1" t="s">
        <v>754</v>
      </c>
      <c r="D18">
        <v>18</v>
      </c>
      <c r="E18">
        <v>45</v>
      </c>
      <c r="F18" s="5">
        <f t="shared" si="0"/>
        <v>6.0321715817694369E-2</v>
      </c>
    </row>
    <row r="19" spans="1:6">
      <c r="A19" s="1" t="s">
        <v>755</v>
      </c>
      <c r="B19" s="1" t="s">
        <v>315</v>
      </c>
      <c r="C19" s="1" t="s">
        <v>756</v>
      </c>
      <c r="D19">
        <v>8</v>
      </c>
      <c r="E19">
        <v>18</v>
      </c>
      <c r="F19" s="5">
        <f t="shared" si="0"/>
        <v>2.4128686327077747E-2</v>
      </c>
    </row>
    <row r="20" spans="1:6">
      <c r="A20" s="1" t="s">
        <v>757</v>
      </c>
      <c r="B20" s="1" t="s">
        <v>588</v>
      </c>
      <c r="C20" t="s">
        <v>758</v>
      </c>
      <c r="D20">
        <v>4</v>
      </c>
      <c r="E20">
        <v>8</v>
      </c>
      <c r="F20" s="5">
        <f t="shared" si="0"/>
        <v>1.0723860589812333E-2</v>
      </c>
    </row>
    <row r="21" spans="1:6">
      <c r="A21" s="2" t="s">
        <v>759</v>
      </c>
      <c r="B21" s="1" t="s">
        <v>503</v>
      </c>
      <c r="C21" t="s">
        <v>760</v>
      </c>
      <c r="D21">
        <v>8</v>
      </c>
      <c r="E21">
        <v>17</v>
      </c>
      <c r="F21" s="5">
        <f t="shared" si="0"/>
        <v>2.2788203753351208E-2</v>
      </c>
    </row>
    <row r="22" spans="1:6">
      <c r="A22" s="1" t="s">
        <v>761</v>
      </c>
      <c r="B22" s="1" t="s">
        <v>704</v>
      </c>
      <c r="C22" t="s">
        <v>760</v>
      </c>
      <c r="D22">
        <v>8</v>
      </c>
      <c r="E22">
        <v>17</v>
      </c>
      <c r="F22" s="5">
        <f t="shared" si="0"/>
        <v>2.2788203753351208E-2</v>
      </c>
    </row>
    <row r="23" spans="1:6">
      <c r="A23" s="1" t="s">
        <v>762</v>
      </c>
      <c r="B23" s="1" t="s">
        <v>487</v>
      </c>
      <c r="C23" t="s">
        <v>763</v>
      </c>
      <c r="D23">
        <v>12</v>
      </c>
      <c r="E23">
        <v>38</v>
      </c>
      <c r="F23" s="5">
        <f t="shared" si="0"/>
        <v>5.0938337801608578E-2</v>
      </c>
    </row>
    <row r="24" spans="1:6">
      <c r="A24" s="1" t="s">
        <v>764</v>
      </c>
      <c r="B24" s="1" t="s">
        <v>765</v>
      </c>
      <c r="C24" t="s">
        <v>766</v>
      </c>
      <c r="D24">
        <v>5</v>
      </c>
      <c r="E24">
        <v>14</v>
      </c>
      <c r="F24" s="5">
        <f t="shared" si="0"/>
        <v>1.876675603217158E-2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GPT-4o</vt:lpstr>
      <vt:lpstr>GPT-4o-mini</vt:lpstr>
      <vt:lpstr>test_rag_border01_4o</vt:lpstr>
      <vt:lpstr>test_rag_border02_4o</vt:lpstr>
      <vt:lpstr>test_rag_border03_4o</vt:lpstr>
      <vt:lpstr>test_rag_border01</vt:lpstr>
      <vt:lpstr>test_rag_border02</vt:lpstr>
      <vt:lpstr>test_rag_border03</vt:lpstr>
      <vt:lpstr>thing_list_people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HIROAKI SHIMOMA</dc:creator>
  <cp:lastModifiedBy>下間　宇晟</cp:lastModifiedBy>
  <dcterms:created xsi:type="dcterms:W3CDTF">2015-06-05T18:19:34Z</dcterms:created>
  <dcterms:modified xsi:type="dcterms:W3CDTF">2025-12-16T09:12:44Z</dcterms:modified>
</cp:coreProperties>
</file>